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 Bowl Week" sheetId="1" r:id="rId4"/>
    <sheet state="visible" name="Playoffs, Week 1" sheetId="2" r:id="rId5"/>
    <sheet state="visible" name="Week 14" sheetId="3" r:id="rId6"/>
    <sheet state="visible" name="Week 13" sheetId="4" r:id="rId7"/>
    <sheet state="visible" name="Week 12" sheetId="5" r:id="rId8"/>
    <sheet state="visible" name="Week 11" sheetId="6" r:id="rId9"/>
    <sheet state="visible" name="Week 10" sheetId="7" r:id="rId10"/>
    <sheet state="visible" name="Week 9" sheetId="8" r:id="rId11"/>
    <sheet state="visible" name="Week 8" sheetId="9" r:id="rId12"/>
    <sheet state="visible" name="Week 7" sheetId="10" r:id="rId13"/>
    <sheet state="visible" name="Week 6" sheetId="11" r:id="rId14"/>
    <sheet state="visible" name="Week 5" sheetId="12" r:id="rId15"/>
    <sheet state="visible" name="Week 4" sheetId="13" r:id="rId16"/>
    <sheet state="visible" name="Week 3" sheetId="14" r:id="rId17"/>
    <sheet state="visible" name="Week 2" sheetId="15" r:id="rId18"/>
    <sheet state="visible" name="Week 1" sheetId="16" r:id="rId19"/>
  </sheets>
  <definedNames/>
  <calcPr/>
</workbook>
</file>

<file path=xl/sharedStrings.xml><?xml version="1.0" encoding="utf-8"?>
<sst xmlns="http://schemas.openxmlformats.org/spreadsheetml/2006/main" count="4868" uniqueCount="366">
  <si>
    <t>Super Bowl Week</t>
  </si>
  <si>
    <t>Christmas (Friday)</t>
  </si>
  <si>
    <t>Saturday</t>
  </si>
  <si>
    <t>Sun Morning</t>
  </si>
  <si>
    <t>Sun Afternoon</t>
  </si>
  <si>
    <t>Sun Night</t>
  </si>
  <si>
    <t>Monday</t>
  </si>
  <si>
    <t>The Mixon Administration</t>
  </si>
  <si>
    <t>Sandusky's Secret</t>
  </si>
  <si>
    <t>Josh Allen's Deleted Tweets</t>
  </si>
  <si>
    <t>The Midlife Existential Crisis</t>
  </si>
  <si>
    <t>Suspended for Inactivity</t>
  </si>
  <si>
    <t>KiloCorp</t>
  </si>
  <si>
    <t>War Crimes For Reagan</t>
  </si>
  <si>
    <t>The One Percenters</t>
  </si>
  <si>
    <t>Griffin Ansel</t>
  </si>
  <si>
    <t>Connor Reardon</t>
  </si>
  <si>
    <t>Connor Kaminska</t>
  </si>
  <si>
    <t>Arnav Patel</t>
  </si>
  <si>
    <t>Joe Ward</t>
  </si>
  <si>
    <t>Miles Agus</t>
  </si>
  <si>
    <t>Ryan Przybocki</t>
  </si>
  <si>
    <t>Bill Kuhl</t>
  </si>
  <si>
    <t>GSA</t>
  </si>
  <si>
    <t>CWR</t>
  </si>
  <si>
    <t>CGK</t>
  </si>
  <si>
    <t>AYP</t>
  </si>
  <si>
    <t>JRW</t>
  </si>
  <si>
    <t>MPA</t>
  </si>
  <si>
    <t>RCP</t>
  </si>
  <si>
    <t>WJK</t>
  </si>
  <si>
    <t>Points</t>
  </si>
  <si>
    <t>QB</t>
  </si>
  <si>
    <t>P. Mahomes II</t>
  </si>
  <si>
    <t>K. Murray</t>
  </si>
  <si>
    <t>J. Allen</t>
  </si>
  <si>
    <t>D. Watson</t>
  </si>
  <si>
    <t>L. Jackson</t>
  </si>
  <si>
    <t>D. Prescott</t>
  </si>
  <si>
    <t>T. Brady</t>
  </si>
  <si>
    <t>A. Rodgers</t>
  </si>
  <si>
    <t>R. Wilson</t>
  </si>
  <si>
    <t>T. Tagavailoa</t>
  </si>
  <si>
    <t>R. Tannehill</t>
  </si>
  <si>
    <t>M. Stafford</t>
  </si>
  <si>
    <t>D. Brees</t>
  </si>
  <si>
    <t>B. Mayfield</t>
  </si>
  <si>
    <t>B. Roethlisberger</t>
  </si>
  <si>
    <t>J. Herbert</t>
  </si>
  <si>
    <t>J. Burrow</t>
  </si>
  <si>
    <t>D. Carr</t>
  </si>
  <si>
    <t>P. Rivers</t>
  </si>
  <si>
    <t>J. Goff</t>
  </si>
  <si>
    <t>R. Griffin III</t>
  </si>
  <si>
    <t>D. Jones</t>
  </si>
  <si>
    <t>T. Bridgewater</t>
  </si>
  <si>
    <t>C. Wentz</t>
  </si>
  <si>
    <t>RB</t>
  </si>
  <si>
    <t>D. Cook</t>
  </si>
  <si>
    <t>N. Chubb</t>
  </si>
  <si>
    <t>C. McCaffrey</t>
  </si>
  <si>
    <t>J. Conner</t>
  </si>
  <si>
    <t>J. Jacobs</t>
  </si>
  <si>
    <t>K. Hunt</t>
  </si>
  <si>
    <t>D. Henry</t>
  </si>
  <si>
    <t>S. Barkley</t>
  </si>
  <si>
    <t>E. Elliott</t>
  </si>
  <si>
    <t>J. Robinson</t>
  </si>
  <si>
    <t>A. Kamara</t>
  </si>
  <si>
    <t>A. Ekeler</t>
  </si>
  <si>
    <t>A. Jones</t>
  </si>
  <si>
    <t>D. Swift</t>
  </si>
  <si>
    <t>A. Gibson</t>
  </si>
  <si>
    <t>M. Sanders</t>
  </si>
  <si>
    <t>J. Mixon</t>
  </si>
  <si>
    <t>J. Taylor</t>
  </si>
  <si>
    <t>L. Bell</t>
  </si>
  <si>
    <t>C. Carson</t>
  </si>
  <si>
    <t>T. Gurley III</t>
  </si>
  <si>
    <t>R. Mostert</t>
  </si>
  <si>
    <t>M. Ingram II</t>
  </si>
  <si>
    <t>C. Edwards-Helaire</t>
  </si>
  <si>
    <t>J.K. Dobbins</t>
  </si>
  <si>
    <t>K. Drake</t>
  </si>
  <si>
    <t>M. Gaskin</t>
  </si>
  <si>
    <t>M. Davis</t>
  </si>
  <si>
    <t>R. Jones II</t>
  </si>
  <si>
    <t>D. Montgomery</t>
  </si>
  <si>
    <t>J. Williams</t>
  </si>
  <si>
    <t>C. Akers</t>
  </si>
  <si>
    <t>WR</t>
  </si>
  <si>
    <t>T. Hill</t>
  </si>
  <si>
    <t>M. Thomas</t>
  </si>
  <si>
    <t>D.K. Metcalf</t>
  </si>
  <si>
    <t>D. Adams</t>
  </si>
  <si>
    <t>K. Golladay</t>
  </si>
  <si>
    <t>C. Godwin</t>
  </si>
  <si>
    <t>M. Evans</t>
  </si>
  <si>
    <t>A. Cooper</t>
  </si>
  <si>
    <t>D. Hopkins</t>
  </si>
  <si>
    <t>J. Jones</t>
  </si>
  <si>
    <t>W. Fuller V</t>
  </si>
  <si>
    <t>A. Thielen</t>
  </si>
  <si>
    <t>T. McLaurin</t>
  </si>
  <si>
    <t>J. Jefferson</t>
  </si>
  <si>
    <t>K. Allen</t>
  </si>
  <si>
    <t>C. Ridley</t>
  </si>
  <si>
    <t>A.J. Brown</t>
  </si>
  <si>
    <t>S. Diggs</t>
  </si>
  <si>
    <t>D.J. Chark Jr.</t>
  </si>
  <si>
    <t>O. Beckham Jr.</t>
  </si>
  <si>
    <t>M. Gallup</t>
  </si>
  <si>
    <t>T. Lockett</t>
  </si>
  <si>
    <t>J. Smith-Schuster</t>
  </si>
  <si>
    <t>D.J. Moore</t>
  </si>
  <si>
    <t>C. Lamb</t>
  </si>
  <si>
    <t>A. Brown</t>
  </si>
  <si>
    <t>R. Woods</t>
  </si>
  <si>
    <t>H. Ruggs III</t>
  </si>
  <si>
    <t>L. Shenault Jr.</t>
  </si>
  <si>
    <t>C. Kupp</t>
  </si>
  <si>
    <t>R. Anderson</t>
  </si>
  <si>
    <t>A. Robinson</t>
  </si>
  <si>
    <t>TE</t>
  </si>
  <si>
    <t>M. Andrews</t>
  </si>
  <si>
    <t>G. Kittle</t>
  </si>
  <si>
    <t>T. Kelce</t>
  </si>
  <si>
    <t>Z. Ertz</t>
  </si>
  <si>
    <t>J. Cook</t>
  </si>
  <si>
    <t>H. Henry</t>
  </si>
  <si>
    <t>M. Gesicki</t>
  </si>
  <si>
    <t>D. Waller</t>
  </si>
  <si>
    <t>E. Engram</t>
  </si>
  <si>
    <t>E. Ebron</t>
  </si>
  <si>
    <t>A. Trautman</t>
  </si>
  <si>
    <t>T.J. Hockenson</t>
  </si>
  <si>
    <t>T. Higbee</t>
  </si>
  <si>
    <t>H. Hurst</t>
  </si>
  <si>
    <t>R. Gronkowski</t>
  </si>
  <si>
    <t>N. Fant</t>
  </si>
  <si>
    <t>D. Goedert</t>
  </si>
  <si>
    <t>C. Kmet</t>
  </si>
  <si>
    <t>J. Doyle</t>
  </si>
  <si>
    <t>R. Tonyan</t>
  </si>
  <si>
    <t>J. Smith</t>
  </si>
  <si>
    <t>A. Hooper</t>
  </si>
  <si>
    <t>G. Olsen</t>
  </si>
  <si>
    <t>I. Smith Jr.</t>
  </si>
  <si>
    <t>K</t>
  </si>
  <si>
    <t>M. Crosby</t>
  </si>
  <si>
    <t>B. McManus</t>
  </si>
  <si>
    <t>J. Tucker</t>
  </si>
  <si>
    <t>C. Boswell</t>
  </si>
  <si>
    <t>H. Butker</t>
  </si>
  <si>
    <t>G. Zuerlein</t>
  </si>
  <si>
    <t>W. Lutz</t>
  </si>
  <si>
    <t>M. Prater</t>
  </si>
  <si>
    <t>R. Blankenship</t>
  </si>
  <si>
    <t>C. Santos</t>
  </si>
  <si>
    <t>K. Fairbairn</t>
  </si>
  <si>
    <t>Y. Koo</t>
  </si>
  <si>
    <t>R. Gould</t>
  </si>
  <si>
    <t>Z. Gonzalez</t>
  </si>
  <si>
    <t>R. Succop</t>
  </si>
  <si>
    <t>J. Elliott</t>
  </si>
  <si>
    <t>DEF</t>
  </si>
  <si>
    <t>Pittsburgh</t>
  </si>
  <si>
    <t>Chicago</t>
  </si>
  <si>
    <t>LA Chargers</t>
  </si>
  <si>
    <t>Baltimore</t>
  </si>
  <si>
    <t>Buffalo</t>
  </si>
  <si>
    <t>Miami</t>
  </si>
  <si>
    <t>Kansas City</t>
  </si>
  <si>
    <t>Denver</t>
  </si>
  <si>
    <t>New Orleans</t>
  </si>
  <si>
    <t>Arizona</t>
  </si>
  <si>
    <t>Minnesota</t>
  </si>
  <si>
    <t>Indianapolis</t>
  </si>
  <si>
    <t>LA Rams</t>
  </si>
  <si>
    <t>New England</t>
  </si>
  <si>
    <t>Seattle</t>
  </si>
  <si>
    <t>Tampa Bay</t>
  </si>
  <si>
    <t>HC</t>
  </si>
  <si>
    <t>A. Reid</t>
  </si>
  <si>
    <t>K. Shanahan</t>
  </si>
  <si>
    <t>S. McVay</t>
  </si>
  <si>
    <t>D. Pederson</t>
  </si>
  <si>
    <t>J. Harbaugh</t>
  </si>
  <si>
    <t>S. Payton</t>
  </si>
  <si>
    <t>M. Nagy</t>
  </si>
  <si>
    <t>P. Carroll</t>
  </si>
  <si>
    <t>M. LaFleur</t>
  </si>
  <si>
    <t>S. McDermott</t>
  </si>
  <si>
    <t>A. Lynn</t>
  </si>
  <si>
    <t>M. Vrabel</t>
  </si>
  <si>
    <t>J. Gruden</t>
  </si>
  <si>
    <t>B. Arians</t>
  </si>
  <si>
    <t>B. Belichick</t>
  </si>
  <si>
    <t>M. Tomlin</t>
  </si>
  <si>
    <t>Jambo Scoreboard</t>
  </si>
  <si>
    <t>Team</t>
  </si>
  <si>
    <t>Score</t>
  </si>
  <si>
    <t>Rank</t>
  </si>
  <si>
    <t>Joe</t>
  </si>
  <si>
    <t>Bill</t>
  </si>
  <si>
    <t>Bocki</t>
  </si>
  <si>
    <t>Miles</t>
  </si>
  <si>
    <t>Week 15 Scoring</t>
  </si>
  <si>
    <t>Thursday</t>
  </si>
  <si>
    <t>Week 14 Scoring</t>
  </si>
  <si>
    <t>Current Playoffs</t>
  </si>
  <si>
    <t>Monday Night Scores</t>
  </si>
  <si>
    <t>Arnav</t>
  </si>
  <si>
    <t>JK Dobbins</t>
  </si>
  <si>
    <t>D. Henderson</t>
  </si>
  <si>
    <t>Top Half</t>
  </si>
  <si>
    <t>Griff</t>
  </si>
  <si>
    <t>Kaminska</t>
  </si>
  <si>
    <t>T. Fulgham</t>
  </si>
  <si>
    <t>Ryan</t>
  </si>
  <si>
    <t>Redacted</t>
  </si>
  <si>
    <t>TAXI</t>
  </si>
  <si>
    <t>D. Carlson</t>
  </si>
  <si>
    <t>M. Ryan</t>
  </si>
  <si>
    <t>N. Foles</t>
  </si>
  <si>
    <t>Q. Cephus</t>
  </si>
  <si>
    <t>D. Parker</t>
  </si>
  <si>
    <t>S. Darnold</t>
  </si>
  <si>
    <t>D. Singletary</t>
  </si>
  <si>
    <t>M. Brown</t>
  </si>
  <si>
    <t>R. Rodgers</t>
  </si>
  <si>
    <t>C. Edmonds</t>
  </si>
  <si>
    <t>N. Agholor</t>
  </si>
  <si>
    <t>D. Knox</t>
  </si>
  <si>
    <t>A. Gase</t>
  </si>
  <si>
    <t>G. Everett</t>
  </si>
  <si>
    <t>M. Hardman</t>
  </si>
  <si>
    <t>D. Njoku</t>
  </si>
  <si>
    <t>Philadelphia</t>
  </si>
  <si>
    <t>W. Dissly</t>
  </si>
  <si>
    <t>Week 13 Scoring</t>
  </si>
  <si>
    <t>Tuesday</t>
  </si>
  <si>
    <t>C. Newton</t>
  </si>
  <si>
    <t>Da. Johnson</t>
  </si>
  <si>
    <t>J. Graham</t>
  </si>
  <si>
    <t>5P</t>
  </si>
  <si>
    <t>6P</t>
  </si>
  <si>
    <t>Week 12 Scoring</t>
  </si>
  <si>
    <t>Josh Allen's Deleted Draft Picks</t>
  </si>
  <si>
    <t>RANK POINTS ARE BULLSHIT</t>
  </si>
  <si>
    <t>Week 11 Scoring</t>
  </si>
  <si>
    <t>Color Scheme:</t>
  </si>
  <si>
    <t>Tyrod's Punctured Lung</t>
  </si>
  <si>
    <t>Reagan's War Crimes</t>
  </si>
  <si>
    <t>J. Garoppolo</t>
  </si>
  <si>
    <t>San Francisco</t>
  </si>
  <si>
    <t>Week 10 Scoring</t>
  </si>
  <si>
    <t>Football Team</t>
  </si>
  <si>
    <t xml:space="preserve">Sleepy (With) Joe Biden </t>
  </si>
  <si>
    <t>Dan Snyder's Moral Compass</t>
  </si>
  <si>
    <t>The Dog, Not the Girl</t>
  </si>
  <si>
    <t>Joe Biden's Sign Language Translator</t>
  </si>
  <si>
    <t>Week 9 Scoring</t>
  </si>
  <si>
    <t>M. Gordon III</t>
  </si>
  <si>
    <t>A.J. Green</t>
  </si>
  <si>
    <t>A. Dillon</t>
  </si>
  <si>
    <t>Week 7 Scoring</t>
  </si>
  <si>
    <t>1: Football Team</t>
  </si>
  <si>
    <t xml:space="preserve">8: Sleepy (With) Joe Biden </t>
  </si>
  <si>
    <t>2: Dan Snyder's Moral Compass</t>
  </si>
  <si>
    <t>5: Tyrod's Punctured Lung</t>
  </si>
  <si>
    <t>3: Josh Allen's Deleted Tweets</t>
  </si>
  <si>
    <t>6: Joe Biden's Sign Language Translator</t>
  </si>
  <si>
    <t>4: The Dog, Not the Girl</t>
  </si>
  <si>
    <t>7: Sandusky's Secret</t>
  </si>
  <si>
    <t>G. Minshew II</t>
  </si>
  <si>
    <t>J. Garropolo</t>
  </si>
  <si>
    <t>P. Lindsay</t>
  </si>
  <si>
    <t>T.Y. Hilton</t>
  </si>
  <si>
    <t>J. Jeudy</t>
  </si>
  <si>
    <t>M. Hall Jr.</t>
  </si>
  <si>
    <t>B. Aiyuk</t>
  </si>
  <si>
    <t>C. Herndon</t>
  </si>
  <si>
    <t>T. Eifert</t>
  </si>
  <si>
    <t>XXXXXXX</t>
  </si>
  <si>
    <t>I. Thomas</t>
  </si>
  <si>
    <t>J. Myers</t>
  </si>
  <si>
    <t xml:space="preserve">Cincinnati </t>
  </si>
  <si>
    <t>Dallas</t>
  </si>
  <si>
    <t>COACH</t>
  </si>
  <si>
    <t>Week 6 Scoring</t>
  </si>
  <si>
    <t>Teams where alternate starters are accepted</t>
  </si>
  <si>
    <t>ATL, MIN, IND, CIN, NE, DEN</t>
  </si>
  <si>
    <t>Alternate starter rules</t>
  </si>
  <si>
    <t>Designate starter and replacement before both games.</t>
  </si>
  <si>
    <t>If starter's game is cancelled, alternate will be scored.</t>
  </si>
  <si>
    <t>Games moved to another week is the same as cancellation</t>
  </si>
  <si>
    <t>1: Beats by Joe and Tyreek</t>
  </si>
  <si>
    <t>L. Fournette</t>
  </si>
  <si>
    <t>C. Kirk</t>
  </si>
  <si>
    <t>T</t>
  </si>
  <si>
    <t>T. Cohen</t>
  </si>
  <si>
    <t>D. Haskins Jr.</t>
  </si>
  <si>
    <t>T. Pollard</t>
  </si>
  <si>
    <t>S. Sims</t>
  </si>
  <si>
    <t>J. Richard</t>
  </si>
  <si>
    <t>L. Fitzgerald</t>
  </si>
  <si>
    <t>O.J. Howard</t>
  </si>
  <si>
    <t>I. Smith</t>
  </si>
  <si>
    <t>Coach</t>
  </si>
  <si>
    <t>M. Badgley</t>
  </si>
  <si>
    <t>M. Jones Jr</t>
  </si>
  <si>
    <t>Jo. Hill</t>
  </si>
  <si>
    <t>D. Marrone</t>
  </si>
  <si>
    <t>D. Arnold</t>
  </si>
  <si>
    <t>Week 5 Scoring</t>
  </si>
  <si>
    <t>NYJ, AZ, BUF, TEN, NE, DEN</t>
  </si>
  <si>
    <t>NE-DEN Cancelled</t>
  </si>
  <si>
    <t>T. Tagavoiloa</t>
  </si>
  <si>
    <t>S. Michel</t>
  </si>
  <si>
    <t>Week 4 Scoring</t>
  </si>
  <si>
    <t>D. Lock</t>
  </si>
  <si>
    <t>Week 3 Scoring</t>
  </si>
  <si>
    <t>1: Can't Hold Liquor</t>
  </si>
  <si>
    <t>K. Johnson</t>
  </si>
  <si>
    <t>D. Metcalf</t>
  </si>
  <si>
    <t>DJ Moore</t>
  </si>
  <si>
    <t>M. Hall</t>
  </si>
  <si>
    <t>AJ Green</t>
  </si>
  <si>
    <t>TY Hilton</t>
  </si>
  <si>
    <t>E. Sanders</t>
  </si>
  <si>
    <t>F. Gore</t>
  </si>
  <si>
    <t>AJ Brown</t>
  </si>
  <si>
    <t>OJ Howard</t>
  </si>
  <si>
    <t>Week 2 Scoring</t>
  </si>
  <si>
    <t>1 v 3</t>
  </si>
  <si>
    <t>2 v 4</t>
  </si>
  <si>
    <t>5 v 7</t>
  </si>
  <si>
    <t>6 v 8</t>
  </si>
  <si>
    <t>5: Pelosi's Hair</t>
  </si>
  <si>
    <t>C. Sutton</t>
  </si>
  <si>
    <t>J. Landry</t>
  </si>
  <si>
    <t>K. Rudolph</t>
  </si>
  <si>
    <t>Week 1 Scoring</t>
  </si>
  <si>
    <t>Beats by Joe and Tyreek</t>
  </si>
  <si>
    <t>Pelosi's Hair</t>
  </si>
  <si>
    <t>Mahomes</t>
  </si>
  <si>
    <t>Ben</t>
  </si>
  <si>
    <t>Zeke</t>
  </si>
  <si>
    <t>Cook</t>
  </si>
  <si>
    <t>Moss</t>
  </si>
  <si>
    <t>Ekeler</t>
  </si>
  <si>
    <t>Tyreek</t>
  </si>
  <si>
    <t>Evans</t>
  </si>
  <si>
    <t>Godwin</t>
  </si>
  <si>
    <t>Kirk</t>
  </si>
  <si>
    <t>Andrews</t>
  </si>
  <si>
    <t>Kelce</t>
  </si>
  <si>
    <t>Myers</t>
  </si>
  <si>
    <t>Bass</t>
  </si>
  <si>
    <t>Indy</t>
  </si>
  <si>
    <t>Tenn</t>
  </si>
  <si>
    <t>Arians</t>
  </si>
  <si>
    <t>LaFleur</t>
  </si>
  <si>
    <t>James Conner (PIT)</t>
  </si>
  <si>
    <t>B. Jarwin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</si>
</sst>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u/>
      <color theme="1"/>
      <name val="Arial"/>
    </font>
    <font>
      <u/>
      <color theme="1"/>
      <name val="Arial"/>
    </font>
    <font>
      <color theme="1"/>
      <name val="Arial"/>
    </font>
    <font>
      <sz val="11.0"/>
      <color rgb="FF000000"/>
      <name val="Inconsolata"/>
    </font>
    <font>
      <u/>
      <color theme="1"/>
      <name val="Arial"/>
    </font>
    <font>
      <u/>
      <color theme="1"/>
      <name val="Arial"/>
    </font>
    <font>
      <u/>
      <sz val="10.0"/>
      <color rgb="FF000000"/>
      <name val="Arial"/>
    </font>
    <font>
      <u/>
      <color theme="1"/>
      <name val="Arial"/>
    </font>
    <font>
      <u/>
      <color theme="1"/>
      <name val="Arial"/>
    </font>
    <font>
      <b/>
      <color theme="1"/>
      <name val="Arial"/>
    </font>
    <font>
      <u/>
      <color rgb="FF000000"/>
      <name val="Arial"/>
    </font>
    <font>
      <color theme="1"/>
      <name val="Arial"/>
      <scheme val="minor"/>
    </font>
    <font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i/>
      <color theme="1"/>
      <name val="Arial"/>
    </font>
    <font>
      <i/>
      <color theme="1"/>
      <name val="Arial"/>
    </font>
    <font>
      <b/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sz val="9.0"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b/>
      <u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3" numFmtId="3" xfId="0" applyAlignment="1" applyFont="1" applyNumberFormat="1">
      <alignment horizontal="center" vertical="bottom"/>
    </xf>
    <xf borderId="0" fillId="2" fontId="3" numFmtId="3" xfId="0" applyAlignment="1" applyFill="1" applyFont="1" applyNumberFormat="1">
      <alignment horizontal="center" readingOrder="0" vertical="bottom"/>
    </xf>
    <xf borderId="0" fillId="3" fontId="3" numFmtId="3" xfId="0" applyAlignment="1" applyFill="1" applyFont="1" applyNumberFormat="1">
      <alignment horizontal="center" readingOrder="0" vertical="bottom"/>
    </xf>
    <xf borderId="0" fillId="4" fontId="3" numFmtId="3" xfId="0" applyAlignment="1" applyFill="1" applyFont="1" applyNumberFormat="1">
      <alignment horizontal="center" readingOrder="0" vertical="bottom"/>
    </xf>
    <xf borderId="0" fillId="5" fontId="3" numFmtId="3" xfId="0" applyAlignment="1" applyFill="1" applyFont="1" applyNumberFormat="1">
      <alignment horizontal="center" readingOrder="0" vertical="bottom"/>
    </xf>
    <xf borderId="0" fillId="6" fontId="3" numFmtId="3" xfId="0" applyAlignment="1" applyFill="1" applyFont="1" applyNumberFormat="1">
      <alignment horizontal="center" readingOrder="0" vertical="bottom"/>
    </xf>
    <xf borderId="0" fillId="7" fontId="3" numFmtId="3" xfId="0" applyAlignment="1" applyFill="1" applyFont="1" applyNumberFormat="1">
      <alignment horizontal="center" readingOrder="0" vertical="bottom"/>
    </xf>
    <xf borderId="0" fillId="8" fontId="4" numFmtId="3" xfId="0" applyAlignment="1" applyFill="1" applyFont="1" applyNumberFormat="1">
      <alignment horizontal="left"/>
    </xf>
    <xf borderId="0" fillId="0" fontId="5" numFmtId="3" xfId="0" applyAlignment="1" applyFont="1" applyNumberFormat="1">
      <alignment horizontal="center" readingOrder="0" shrinkToFit="0" vertical="bottom" wrapText="1"/>
    </xf>
    <xf borderId="0" fillId="0" fontId="6" numFmtId="3" xfId="0" applyAlignment="1" applyFont="1" applyNumberFormat="1">
      <alignment horizontal="center" shrinkToFit="0" vertical="bottom" wrapText="1"/>
    </xf>
    <xf borderId="0" fillId="8" fontId="7" numFmtId="3" xfId="0" applyAlignment="1" applyFont="1" applyNumberFormat="1">
      <alignment horizontal="center" readingOrder="0" shrinkToFit="0" wrapText="1"/>
    </xf>
    <xf borderId="0" fillId="0" fontId="3" numFmtId="3" xfId="0" applyAlignment="1" applyFont="1" applyNumberFormat="1">
      <alignment horizontal="center" readingOrder="0" vertical="bottom"/>
    </xf>
    <xf borderId="0" fillId="0" fontId="3" numFmtId="3" xfId="0" applyAlignment="1" applyFont="1" applyNumberFormat="1">
      <alignment horizontal="center" shrinkToFit="0" vertical="bottom" wrapText="0"/>
    </xf>
    <xf borderId="0" fillId="0" fontId="8" numFmtId="3" xfId="0" applyAlignment="1" applyFont="1" applyNumberFormat="1">
      <alignment horizontal="center" readingOrder="0" vertical="bottom"/>
    </xf>
    <xf borderId="0" fillId="0" fontId="9" numFmtId="3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10" numFmtId="3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readingOrder="0" vertical="bottom"/>
    </xf>
    <xf borderId="0" fillId="8" fontId="11" numFmtId="3" xfId="0" applyAlignment="1" applyFont="1" applyNumberFormat="1">
      <alignment horizontal="center" readingOrder="0"/>
    </xf>
    <xf borderId="0" fillId="0" fontId="10" numFmtId="3" xfId="0" applyAlignment="1" applyFont="1" applyNumberFormat="1">
      <alignment horizontal="center" readingOrder="0" vertical="bottom"/>
    </xf>
    <xf borderId="0" fillId="0" fontId="12" numFmtId="0" xfId="0" applyAlignment="1" applyFont="1">
      <alignment horizontal="center" readingOrder="0"/>
    </xf>
    <xf borderId="0" fillId="9" fontId="13" numFmtId="3" xfId="0" applyAlignment="1" applyFill="1" applyFont="1" applyNumberFormat="1">
      <alignment horizontal="center" vertical="bottom"/>
    </xf>
    <xf borderId="0" fillId="0" fontId="14" numFmtId="3" xfId="0" applyAlignment="1" applyFont="1" applyNumberFormat="1">
      <alignment horizontal="center" readingOrder="0" vertical="bottom"/>
    </xf>
    <xf borderId="0" fillId="10" fontId="3" numFmtId="3" xfId="0" applyAlignment="1" applyFill="1" applyFont="1" applyNumberFormat="1">
      <alignment horizontal="center" readingOrder="0" vertical="bottom"/>
    </xf>
    <xf borderId="0" fillId="8" fontId="15" numFmtId="3" xfId="0" applyAlignment="1" applyFont="1" applyNumberFormat="1">
      <alignment horizontal="center" readingOrder="0"/>
    </xf>
    <xf borderId="0" fillId="0" fontId="16" numFmtId="3" xfId="0" applyAlignment="1" applyFont="1" applyNumberFormat="1">
      <alignment horizontal="center" vertical="bottom"/>
    </xf>
    <xf borderId="0" fillId="0" fontId="17" numFmtId="3" xfId="0" applyAlignment="1" applyFont="1" applyNumberFormat="1">
      <alignment horizontal="center" vertical="bottom"/>
    </xf>
    <xf borderId="0" fillId="0" fontId="17" numFmtId="3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center" readingOrder="0"/>
    </xf>
    <xf borderId="0" fillId="0" fontId="19" numFmtId="3" xfId="0" applyAlignment="1" applyFont="1" applyNumberFormat="1">
      <alignment horizontal="center" readingOrder="0" shrinkToFit="0" vertical="bottom" wrapText="0"/>
    </xf>
    <xf borderId="0" fillId="0" fontId="20" numFmtId="3" xfId="0" applyAlignment="1" applyFont="1" applyNumberFormat="1">
      <alignment horizontal="center" shrinkToFit="0" vertical="bottom" wrapText="0"/>
    </xf>
    <xf borderId="0" fillId="0" fontId="21" numFmtId="0" xfId="0" applyAlignment="1" applyFont="1">
      <alignment horizontal="center" readingOrder="0" vertical="bottom"/>
    </xf>
    <xf borderId="0" fillId="0" fontId="22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0" fontId="2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25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26" numFmtId="0" xfId="0" applyAlignment="1" applyFont="1">
      <alignment horizontal="center" readingOrder="0" vertical="bottom"/>
    </xf>
    <xf borderId="0" fillId="0" fontId="27" numFmtId="0" xfId="0" applyAlignment="1" applyFont="1">
      <alignment horizontal="center" vertical="bottom"/>
    </xf>
    <xf borderId="0" fillId="0" fontId="28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9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0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31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1"/>
    </xf>
    <xf borderId="0" fillId="0" fontId="32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7" fontId="12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4A86E8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3.38"/>
    <col customWidth="1" min="4" max="4" width="14.75"/>
    <col customWidth="1" min="5" max="5" width="14.25"/>
    <col customWidth="1" min="7" max="7" width="13.13"/>
    <col customWidth="1" min="9" max="9" width="12.38"/>
    <col customWidth="1" min="11" max="11" width="13.75"/>
    <col customWidth="1" min="13" max="13" width="15.13"/>
    <col customWidth="1" min="15" max="22" width="16.13"/>
    <col customWidth="1" min="25" max="25" width="14.38"/>
    <col customWidth="1" min="29" max="29" width="28.13"/>
  </cols>
  <sheetData>
    <row r="1">
      <c r="A1" s="1" t="s">
        <v>0</v>
      </c>
      <c r="B1" s="2"/>
      <c r="C1" s="3"/>
      <c r="D1" s="4" t="s">
        <v>1</v>
      </c>
      <c r="F1" s="5" t="s">
        <v>2</v>
      </c>
      <c r="H1" s="6" t="s">
        <v>3</v>
      </c>
      <c r="I1" s="3"/>
      <c r="J1" s="7" t="s">
        <v>4</v>
      </c>
      <c r="K1" s="3"/>
      <c r="L1" s="8" t="s">
        <v>5</v>
      </c>
      <c r="M1" s="3"/>
      <c r="N1" s="9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0"/>
      <c r="AD1" s="3"/>
      <c r="AE1" s="3"/>
      <c r="AF1" s="3"/>
      <c r="AG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>
      <c r="A3" s="11" t="s">
        <v>7</v>
      </c>
      <c r="B3" s="3"/>
      <c r="C3" s="12" t="s">
        <v>8</v>
      </c>
      <c r="D3" s="3"/>
      <c r="E3" s="11" t="s">
        <v>9</v>
      </c>
      <c r="F3" s="3"/>
      <c r="G3" s="11" t="s">
        <v>10</v>
      </c>
      <c r="H3" s="3"/>
      <c r="I3" s="11" t="s">
        <v>11</v>
      </c>
      <c r="J3" s="3"/>
      <c r="K3" s="11" t="s">
        <v>12</v>
      </c>
      <c r="L3" s="3"/>
      <c r="M3" s="11" t="s">
        <v>13</v>
      </c>
      <c r="N3" s="3"/>
      <c r="O3" s="13" t="s">
        <v>14</v>
      </c>
      <c r="P3" s="13"/>
      <c r="Q3" s="13"/>
      <c r="R3" s="13"/>
      <c r="S3" s="13"/>
      <c r="T3" s="13"/>
      <c r="U3" s="13"/>
      <c r="V3" s="1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>
      <c r="A4" s="3" t="s">
        <v>15</v>
      </c>
      <c r="B4" s="14"/>
      <c r="C4" s="3" t="s">
        <v>16</v>
      </c>
      <c r="D4" s="3"/>
      <c r="E4" s="15" t="s">
        <v>17</v>
      </c>
      <c r="F4" s="3"/>
      <c r="G4" s="3" t="s">
        <v>18</v>
      </c>
      <c r="H4" s="3"/>
      <c r="I4" s="3" t="s">
        <v>19</v>
      </c>
      <c r="J4" s="3"/>
      <c r="K4" s="3" t="s">
        <v>20</v>
      </c>
      <c r="L4" s="3"/>
      <c r="M4" s="3" t="s">
        <v>21</v>
      </c>
      <c r="N4" s="3"/>
      <c r="O4" s="3" t="s">
        <v>22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>
      <c r="A5" s="14" t="s">
        <v>23</v>
      </c>
      <c r="B5" s="3"/>
      <c r="C5" s="14" t="s">
        <v>24</v>
      </c>
      <c r="D5" s="3"/>
      <c r="E5" s="14" t="s">
        <v>25</v>
      </c>
      <c r="F5" s="3"/>
      <c r="G5" s="14" t="s">
        <v>26</v>
      </c>
      <c r="H5" s="3"/>
      <c r="I5" s="14" t="s">
        <v>27</v>
      </c>
      <c r="J5" s="3"/>
      <c r="K5" s="14" t="s">
        <v>28</v>
      </c>
      <c r="L5" s="3"/>
      <c r="M5" s="14" t="s">
        <v>29</v>
      </c>
      <c r="N5" s="3"/>
      <c r="O5" s="14" t="s">
        <v>30</v>
      </c>
      <c r="P5" s="3"/>
      <c r="Q5" s="3"/>
      <c r="R5" s="3"/>
      <c r="S5" s="3"/>
      <c r="T5" s="3"/>
      <c r="U5" s="3"/>
      <c r="V5" s="3"/>
      <c r="W5" s="3"/>
      <c r="X5" s="3"/>
      <c r="Y5" s="14"/>
      <c r="Z5" s="3"/>
      <c r="AA5" s="3"/>
      <c r="AB5" s="3"/>
      <c r="AC5" s="14"/>
      <c r="AD5" s="3"/>
      <c r="AE5" s="3"/>
      <c r="AF5" s="3"/>
      <c r="AG5" s="3"/>
    </row>
    <row r="6">
      <c r="A6" s="3"/>
      <c r="B6" s="16" t="s">
        <v>31</v>
      </c>
      <c r="C6" s="3"/>
      <c r="D6" s="16" t="s">
        <v>31</v>
      </c>
      <c r="E6" s="3"/>
      <c r="F6" s="16" t="s">
        <v>31</v>
      </c>
      <c r="G6" s="3"/>
      <c r="H6" s="16" t="s">
        <v>31</v>
      </c>
      <c r="I6" s="3"/>
      <c r="J6" s="16" t="s">
        <v>31</v>
      </c>
      <c r="K6" s="3"/>
      <c r="L6" s="16" t="s">
        <v>31</v>
      </c>
      <c r="M6" s="3"/>
      <c r="N6" s="16" t="s">
        <v>31</v>
      </c>
      <c r="O6" s="3"/>
      <c r="P6" s="3"/>
      <c r="Q6" s="3"/>
      <c r="R6" s="3"/>
      <c r="S6" s="3"/>
      <c r="T6" s="3"/>
      <c r="U6" s="3"/>
      <c r="V6" s="3"/>
      <c r="W6" s="16" t="s">
        <v>31</v>
      </c>
      <c r="X6" s="3"/>
      <c r="Y6" s="16"/>
      <c r="AA6" s="3"/>
      <c r="AB6" s="3"/>
      <c r="AC6" s="3"/>
      <c r="AD6" s="3"/>
      <c r="AE6" s="3"/>
      <c r="AF6" s="3"/>
      <c r="AG6" s="3"/>
    </row>
    <row r="7">
      <c r="A7" s="17" t="s">
        <v>32</v>
      </c>
      <c r="B7" s="17"/>
      <c r="C7" s="17" t="s">
        <v>32</v>
      </c>
      <c r="D7" s="17"/>
      <c r="E7" s="17" t="s">
        <v>32</v>
      </c>
      <c r="F7" s="17"/>
      <c r="G7" s="17" t="s">
        <v>32</v>
      </c>
      <c r="H7" s="17"/>
      <c r="I7" s="17" t="s">
        <v>32</v>
      </c>
      <c r="J7" s="17"/>
      <c r="K7" s="17" t="s">
        <v>32</v>
      </c>
      <c r="L7" s="17"/>
      <c r="M7" s="17" t="s">
        <v>32</v>
      </c>
      <c r="N7" s="17"/>
      <c r="O7" s="17" t="s">
        <v>32</v>
      </c>
      <c r="P7" s="17"/>
      <c r="Q7" s="17"/>
      <c r="R7" s="17"/>
      <c r="S7" s="17"/>
      <c r="T7" s="17"/>
      <c r="U7" s="17"/>
      <c r="V7" s="17"/>
      <c r="W7" s="16"/>
      <c r="X7" s="17"/>
      <c r="Y7" s="14"/>
      <c r="Z7" s="17"/>
      <c r="AA7" s="17"/>
      <c r="AB7" s="17"/>
      <c r="AC7" s="18"/>
      <c r="AD7" s="17"/>
      <c r="AE7" s="17"/>
      <c r="AF7" s="17"/>
      <c r="AG7" s="17"/>
    </row>
    <row r="8">
      <c r="A8" s="19" t="s">
        <v>33</v>
      </c>
      <c r="B8" s="14">
        <v>23.0</v>
      </c>
      <c r="C8" s="19" t="s">
        <v>34</v>
      </c>
      <c r="D8" s="14">
        <v>14.0</v>
      </c>
      <c r="E8" s="19" t="s">
        <v>35</v>
      </c>
      <c r="F8" s="14">
        <v>39.0</v>
      </c>
      <c r="G8" s="19" t="s">
        <v>36</v>
      </c>
      <c r="H8" s="14">
        <v>30.0</v>
      </c>
      <c r="I8" s="19" t="s">
        <v>37</v>
      </c>
      <c r="J8" s="14">
        <v>25.0</v>
      </c>
      <c r="K8" s="3" t="s">
        <v>38</v>
      </c>
      <c r="L8" s="3"/>
      <c r="M8" s="19" t="s">
        <v>39</v>
      </c>
      <c r="N8" s="14">
        <v>37.0</v>
      </c>
      <c r="O8" s="19" t="s">
        <v>40</v>
      </c>
      <c r="P8" s="19"/>
      <c r="Q8" s="19"/>
      <c r="R8" s="19"/>
      <c r="S8" s="19"/>
      <c r="T8" s="19"/>
      <c r="U8" s="19"/>
      <c r="V8" s="19"/>
      <c r="W8" s="8">
        <v>32.0</v>
      </c>
      <c r="X8" s="3"/>
      <c r="Y8" s="14"/>
      <c r="Z8" s="14"/>
      <c r="AA8" s="3"/>
      <c r="AB8" s="3"/>
      <c r="AC8" s="14"/>
      <c r="AD8" s="3"/>
      <c r="AE8" s="3"/>
      <c r="AF8" s="3"/>
      <c r="AG8" s="3"/>
    </row>
    <row r="9">
      <c r="A9" s="3" t="s">
        <v>41</v>
      </c>
      <c r="B9" s="14"/>
      <c r="C9" s="3" t="s">
        <v>42</v>
      </c>
      <c r="D9" s="14"/>
      <c r="E9" s="3" t="s">
        <v>43</v>
      </c>
      <c r="F9" s="14"/>
      <c r="G9" s="3" t="s">
        <v>44</v>
      </c>
      <c r="H9" s="14"/>
      <c r="I9" s="3" t="s">
        <v>45</v>
      </c>
      <c r="J9" s="14"/>
      <c r="K9" s="19" t="s">
        <v>46</v>
      </c>
      <c r="L9" s="14">
        <v>7.0</v>
      </c>
      <c r="M9" s="3" t="s">
        <v>47</v>
      </c>
      <c r="N9" s="14"/>
      <c r="O9" s="3" t="s">
        <v>48</v>
      </c>
      <c r="P9" s="3"/>
      <c r="Q9" s="3"/>
      <c r="R9" s="3"/>
      <c r="S9" s="3"/>
      <c r="T9" s="3"/>
      <c r="U9" s="3"/>
      <c r="V9" s="3"/>
      <c r="W9" s="14"/>
      <c r="X9" s="3"/>
      <c r="Y9" s="14"/>
      <c r="Z9" s="14"/>
      <c r="AA9" s="3"/>
      <c r="AB9" s="3"/>
      <c r="AC9" s="3"/>
      <c r="AD9" s="3"/>
      <c r="AE9" s="3"/>
      <c r="AF9" s="3"/>
      <c r="AG9" s="3"/>
    </row>
    <row r="10">
      <c r="A10" s="3" t="s">
        <v>49</v>
      </c>
      <c r="B10" s="3"/>
      <c r="C10" s="3" t="s">
        <v>50</v>
      </c>
      <c r="D10" s="3"/>
      <c r="E10" s="3" t="s">
        <v>51</v>
      </c>
      <c r="F10" s="3"/>
      <c r="G10" s="3" t="s">
        <v>52</v>
      </c>
      <c r="H10" s="3"/>
      <c r="I10" s="3" t="s">
        <v>53</v>
      </c>
      <c r="J10" s="3"/>
      <c r="K10" s="3" t="s">
        <v>54</v>
      </c>
      <c r="L10" s="3"/>
      <c r="M10" s="3" t="s">
        <v>55</v>
      </c>
      <c r="N10" s="3"/>
      <c r="O10" s="3" t="s">
        <v>56</v>
      </c>
      <c r="P10" s="3"/>
      <c r="Q10" s="3"/>
      <c r="R10" s="3"/>
      <c r="S10" s="3"/>
      <c r="T10" s="3"/>
      <c r="U10" s="3"/>
      <c r="V10" s="3"/>
      <c r="W10" s="3"/>
      <c r="X10" s="3"/>
      <c r="Y10" s="14"/>
      <c r="Z10" s="14"/>
      <c r="AA10" s="3"/>
      <c r="AB10" s="3"/>
      <c r="AC10" s="3"/>
      <c r="AD10" s="3"/>
      <c r="AE10" s="3"/>
      <c r="AF10" s="3"/>
      <c r="AG10" s="3"/>
    </row>
    <row r="11">
      <c r="C11" s="3"/>
      <c r="E11" s="3"/>
      <c r="G11" s="3"/>
      <c r="I11" s="3"/>
      <c r="K11" s="3"/>
      <c r="M11" s="3"/>
      <c r="O11" s="3"/>
      <c r="P11" s="3"/>
      <c r="Q11" s="3"/>
      <c r="R11" s="3"/>
      <c r="S11" s="3"/>
      <c r="T11" s="3"/>
      <c r="U11" s="3"/>
      <c r="V11" s="3"/>
      <c r="X11" s="3"/>
      <c r="Y11" s="14"/>
      <c r="Z11" s="14"/>
      <c r="AA11" s="3"/>
      <c r="AB11" s="3"/>
      <c r="AC11" s="3"/>
      <c r="AD11" s="3"/>
      <c r="AE11" s="3"/>
      <c r="AF11" s="3"/>
      <c r="AG11" s="3"/>
    </row>
    <row r="12">
      <c r="A12" s="17" t="s">
        <v>57</v>
      </c>
      <c r="B12" s="17"/>
      <c r="C12" s="17" t="s">
        <v>57</v>
      </c>
      <c r="D12" s="17"/>
      <c r="E12" s="17" t="s">
        <v>57</v>
      </c>
      <c r="G12" s="17" t="s">
        <v>57</v>
      </c>
      <c r="H12" s="17"/>
      <c r="I12" s="17" t="s">
        <v>57</v>
      </c>
      <c r="J12" s="17"/>
      <c r="K12" s="17" t="s">
        <v>57</v>
      </c>
      <c r="L12" s="17"/>
      <c r="M12" s="17" t="s">
        <v>57</v>
      </c>
      <c r="N12" s="17"/>
      <c r="O12" s="17" t="s">
        <v>57</v>
      </c>
      <c r="P12" s="17"/>
      <c r="Q12" s="17"/>
      <c r="R12" s="17"/>
      <c r="S12" s="17"/>
      <c r="T12" s="17"/>
      <c r="U12" s="17"/>
      <c r="V12" s="17"/>
      <c r="W12" s="17"/>
      <c r="X12" s="17"/>
      <c r="Y12" s="20"/>
      <c r="Z12" s="20"/>
      <c r="AA12" s="17"/>
      <c r="AB12" s="17"/>
      <c r="AC12" s="17"/>
      <c r="AD12" s="17"/>
      <c r="AE12" s="17"/>
      <c r="AF12" s="17"/>
      <c r="AG12" s="17"/>
    </row>
    <row r="13">
      <c r="A13" s="19" t="s">
        <v>58</v>
      </c>
      <c r="B13" s="14">
        <v>14.0</v>
      </c>
      <c r="C13" s="19" t="s">
        <v>59</v>
      </c>
      <c r="D13" s="14">
        <v>11.0</v>
      </c>
      <c r="E13" s="3" t="s">
        <v>60</v>
      </c>
      <c r="G13" s="3" t="s">
        <v>61</v>
      </c>
      <c r="H13" s="14"/>
      <c r="I13" s="19" t="s">
        <v>62</v>
      </c>
      <c r="J13" s="14">
        <v>6.0</v>
      </c>
      <c r="K13" s="14" t="s">
        <v>63</v>
      </c>
      <c r="L13" s="14"/>
      <c r="M13" s="19" t="s">
        <v>64</v>
      </c>
      <c r="N13" s="14">
        <v>9.0</v>
      </c>
      <c r="O13" s="3" t="s">
        <v>65</v>
      </c>
      <c r="P13" s="3"/>
      <c r="Q13" s="3"/>
      <c r="R13" s="3"/>
      <c r="S13" s="3"/>
      <c r="T13" s="3"/>
      <c r="U13" s="3"/>
      <c r="V13" s="3"/>
      <c r="W13" s="14"/>
      <c r="X13" s="3"/>
      <c r="Y13" s="14"/>
      <c r="Z13" s="14"/>
      <c r="AA13" s="3"/>
      <c r="AB13" s="3"/>
      <c r="AC13" s="3"/>
      <c r="AD13" s="3"/>
      <c r="AE13" s="3"/>
      <c r="AF13" s="3"/>
      <c r="AG13" s="3"/>
    </row>
    <row r="14">
      <c r="A14" s="3" t="s">
        <v>66</v>
      </c>
      <c r="B14" s="3"/>
      <c r="C14" s="3" t="s">
        <v>67</v>
      </c>
      <c r="E14" s="19" t="s">
        <v>68</v>
      </c>
      <c r="F14" s="14">
        <v>52.0</v>
      </c>
      <c r="G14" s="19" t="s">
        <v>69</v>
      </c>
      <c r="H14" s="14">
        <v>12.0</v>
      </c>
      <c r="I14" s="19" t="s">
        <v>70</v>
      </c>
      <c r="J14" s="14">
        <v>10.0</v>
      </c>
      <c r="K14" s="19" t="s">
        <v>71</v>
      </c>
      <c r="L14" s="14">
        <v>4.0</v>
      </c>
      <c r="M14" s="19" t="s">
        <v>72</v>
      </c>
      <c r="N14" s="14">
        <v>6.0</v>
      </c>
      <c r="O14" s="19" t="s">
        <v>73</v>
      </c>
      <c r="P14" s="19"/>
      <c r="Q14" s="19"/>
      <c r="R14" s="19"/>
      <c r="S14" s="19"/>
      <c r="T14" s="19"/>
      <c r="U14" s="19"/>
      <c r="V14" s="19"/>
      <c r="W14" s="14">
        <v>13.0</v>
      </c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>
      <c r="A15" s="3" t="s">
        <v>74</v>
      </c>
      <c r="B15" s="14"/>
      <c r="C15" s="19" t="s">
        <v>75</v>
      </c>
      <c r="D15" s="14">
        <v>19.0</v>
      </c>
      <c r="E15" s="19" t="s">
        <v>76</v>
      </c>
      <c r="F15" s="14">
        <v>3.0</v>
      </c>
      <c r="G15" s="19" t="s">
        <v>77</v>
      </c>
      <c r="H15" s="14">
        <v>7.0</v>
      </c>
      <c r="I15" s="3" t="s">
        <v>78</v>
      </c>
      <c r="J15" s="14"/>
      <c r="K15" s="3" t="s">
        <v>79</v>
      </c>
      <c r="L15" s="14"/>
      <c r="M15" s="3" t="s">
        <v>80</v>
      </c>
      <c r="N15" s="14"/>
      <c r="O15" s="3" t="s">
        <v>81</v>
      </c>
      <c r="P15" s="3"/>
      <c r="Q15" s="3"/>
      <c r="R15" s="3"/>
      <c r="S15" s="3"/>
      <c r="T15" s="3"/>
      <c r="U15" s="3"/>
      <c r="V15" s="3"/>
      <c r="W15" s="14"/>
      <c r="X15" s="3"/>
      <c r="Y15" s="14"/>
      <c r="Z15" s="14"/>
      <c r="AA15" s="3"/>
      <c r="AB15" s="3"/>
      <c r="AC15" s="3"/>
      <c r="AD15" s="3"/>
      <c r="AE15" s="3"/>
      <c r="AF15" s="3"/>
      <c r="AG15" s="3"/>
    </row>
    <row r="16">
      <c r="A16" s="19" t="s">
        <v>82</v>
      </c>
      <c r="B16" s="14">
        <v>13.0</v>
      </c>
      <c r="C16" s="14" t="s">
        <v>83</v>
      </c>
      <c r="D16" s="14"/>
      <c r="E16" s="14" t="s">
        <v>84</v>
      </c>
      <c r="F16" s="14"/>
      <c r="G16" s="14" t="s">
        <v>85</v>
      </c>
      <c r="H16" s="14"/>
      <c r="I16" s="3" t="s">
        <v>86</v>
      </c>
      <c r="J16" s="14"/>
      <c r="K16" s="19" t="s">
        <v>87</v>
      </c>
      <c r="L16" s="14">
        <v>17.0</v>
      </c>
      <c r="M16" s="3" t="s">
        <v>88</v>
      </c>
      <c r="N16" s="14"/>
      <c r="O16" s="19" t="s">
        <v>89</v>
      </c>
      <c r="P16" s="19"/>
      <c r="Q16" s="19"/>
      <c r="R16" s="19"/>
      <c r="S16" s="19"/>
      <c r="T16" s="19"/>
      <c r="U16" s="19"/>
      <c r="V16" s="19"/>
      <c r="W16" s="14">
        <v>0.0</v>
      </c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>
      <c r="A17" s="3"/>
      <c r="B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W17" s="3"/>
      <c r="X17" s="3"/>
      <c r="Y17" s="21"/>
      <c r="Z17" s="16"/>
      <c r="AA17" s="16"/>
      <c r="AB17" s="3"/>
      <c r="AC17" s="3"/>
      <c r="AD17" s="3"/>
      <c r="AE17" s="3"/>
      <c r="AF17" s="3"/>
      <c r="AG17" s="3"/>
    </row>
    <row r="18">
      <c r="A18" s="17" t="s">
        <v>90</v>
      </c>
      <c r="B18" s="17"/>
      <c r="C18" s="17" t="s">
        <v>90</v>
      </c>
      <c r="D18" s="17"/>
      <c r="E18" s="17" t="s">
        <v>90</v>
      </c>
      <c r="F18" s="17"/>
      <c r="G18" s="17" t="s">
        <v>90</v>
      </c>
      <c r="H18" s="17"/>
      <c r="I18" s="17" t="s">
        <v>90</v>
      </c>
      <c r="J18" s="17"/>
      <c r="K18" s="17" t="s">
        <v>90</v>
      </c>
      <c r="L18" s="17"/>
      <c r="M18" s="17" t="s">
        <v>90</v>
      </c>
      <c r="N18" s="17"/>
      <c r="O18" s="17" t="s">
        <v>90</v>
      </c>
      <c r="P18" s="17"/>
      <c r="Q18" s="17"/>
      <c r="R18" s="17"/>
      <c r="S18" s="17"/>
      <c r="T18" s="17"/>
      <c r="U18" s="17"/>
      <c r="V18" s="17"/>
      <c r="W18" s="17"/>
      <c r="X18" s="17"/>
      <c r="Y18" s="20"/>
      <c r="Z18" s="18"/>
      <c r="AA18" s="18"/>
      <c r="AB18" s="17"/>
      <c r="AC18" s="17"/>
      <c r="AD18" s="17"/>
      <c r="AE18" s="17"/>
      <c r="AF18" s="17"/>
      <c r="AG18" s="17"/>
    </row>
    <row r="19">
      <c r="A19" s="19" t="s">
        <v>91</v>
      </c>
      <c r="B19" s="14">
        <v>6.0</v>
      </c>
      <c r="C19" s="3" t="s">
        <v>92</v>
      </c>
      <c r="D19" s="14"/>
      <c r="E19" s="19" t="s">
        <v>93</v>
      </c>
      <c r="F19" s="14">
        <v>5.0</v>
      </c>
      <c r="G19" s="19" t="s">
        <v>94</v>
      </c>
      <c r="H19" s="14">
        <v>32.0</v>
      </c>
      <c r="I19" s="3" t="s">
        <v>95</v>
      </c>
      <c r="J19" s="3"/>
      <c r="K19" s="19" t="s">
        <v>96</v>
      </c>
      <c r="L19" s="14">
        <v>14.0</v>
      </c>
      <c r="M19" s="19" t="s">
        <v>97</v>
      </c>
      <c r="N19" s="14">
        <v>30.0</v>
      </c>
      <c r="O19" s="14" t="s">
        <v>98</v>
      </c>
      <c r="P19" s="14"/>
      <c r="Q19" s="14"/>
      <c r="R19" s="14"/>
      <c r="S19" s="14"/>
      <c r="T19" s="14"/>
      <c r="U19" s="14"/>
      <c r="V19" s="14"/>
      <c r="W19" s="3"/>
      <c r="X19" s="3"/>
      <c r="Y19" s="20"/>
      <c r="Z19" s="18"/>
      <c r="AA19" s="18"/>
      <c r="AB19" s="3"/>
      <c r="AC19" s="3"/>
      <c r="AD19" s="3"/>
      <c r="AE19" s="3"/>
      <c r="AF19" s="3"/>
      <c r="AG19" s="3"/>
    </row>
    <row r="20">
      <c r="A20" s="22" t="s">
        <v>99</v>
      </c>
      <c r="B20" s="14">
        <v>4.0</v>
      </c>
      <c r="C20" s="23" t="s">
        <v>100</v>
      </c>
      <c r="D20" s="14"/>
      <c r="E20" s="3" t="s">
        <v>101</v>
      </c>
      <c r="F20" s="14"/>
      <c r="G20" s="19" t="s">
        <v>102</v>
      </c>
      <c r="H20" s="23">
        <v>15.0</v>
      </c>
      <c r="I20" s="3" t="s">
        <v>103</v>
      </c>
      <c r="J20" s="14"/>
      <c r="K20" s="22" t="s">
        <v>104</v>
      </c>
      <c r="L20" s="14">
        <v>8.0</v>
      </c>
      <c r="M20" s="3" t="s">
        <v>105</v>
      </c>
      <c r="O20" s="19" t="s">
        <v>106</v>
      </c>
      <c r="P20" s="19"/>
      <c r="Q20" s="19"/>
      <c r="R20" s="19"/>
      <c r="S20" s="19"/>
      <c r="T20" s="19"/>
      <c r="U20" s="19"/>
      <c r="V20" s="19"/>
      <c r="W20" s="14">
        <v>13.0</v>
      </c>
      <c r="X20" s="3"/>
      <c r="Y20" s="20"/>
      <c r="Z20" s="18"/>
      <c r="AA20" s="18"/>
      <c r="AB20" s="3"/>
      <c r="AC20" s="3"/>
      <c r="AD20" s="3"/>
      <c r="AE20" s="3"/>
      <c r="AF20" s="3"/>
      <c r="AG20" s="3"/>
    </row>
    <row r="21">
      <c r="A21" s="3" t="s">
        <v>107</v>
      </c>
      <c r="B21" s="14"/>
      <c r="C21" s="3" t="s">
        <v>108</v>
      </c>
      <c r="D21" s="14"/>
      <c r="E21" s="23" t="s">
        <v>109</v>
      </c>
      <c r="F21" s="14"/>
      <c r="G21" s="3" t="s">
        <v>110</v>
      </c>
      <c r="H21" s="14"/>
      <c r="I21" s="19" t="s">
        <v>111</v>
      </c>
      <c r="J21" s="14">
        <v>24.0</v>
      </c>
      <c r="K21" s="3" t="s">
        <v>112</v>
      </c>
      <c r="L21" s="14"/>
      <c r="M21" s="3" t="s">
        <v>113</v>
      </c>
      <c r="N21" s="14"/>
      <c r="O21" s="3" t="s">
        <v>114</v>
      </c>
      <c r="P21" s="3"/>
      <c r="Q21" s="3"/>
      <c r="R21" s="3"/>
      <c r="S21" s="3"/>
      <c r="T21" s="3"/>
      <c r="U21" s="3"/>
      <c r="V21" s="3"/>
      <c r="W21" s="14"/>
      <c r="X21" s="3"/>
      <c r="Y21" s="20"/>
      <c r="Z21" s="18"/>
      <c r="AA21" s="18"/>
      <c r="AB21" s="3"/>
      <c r="AC21" s="3"/>
      <c r="AD21" s="3"/>
      <c r="AE21" s="3"/>
      <c r="AF21" s="3"/>
      <c r="AG21" s="3"/>
    </row>
    <row r="22">
      <c r="A22" s="3" t="s">
        <v>115</v>
      </c>
      <c r="C22" s="19" t="s">
        <v>116</v>
      </c>
      <c r="D22" s="14">
        <v>9.0</v>
      </c>
      <c r="E22" s="19" t="s">
        <v>117</v>
      </c>
      <c r="F22" s="14">
        <v>4.0</v>
      </c>
      <c r="G22" s="14" t="s">
        <v>118</v>
      </c>
      <c r="H22" s="14"/>
      <c r="I22" s="19" t="s">
        <v>119</v>
      </c>
      <c r="J22" s="14">
        <v>10.0</v>
      </c>
      <c r="K22" s="14" t="s">
        <v>120</v>
      </c>
      <c r="M22" s="19" t="s">
        <v>121</v>
      </c>
      <c r="N22" s="14">
        <v>9.0</v>
      </c>
      <c r="O22" s="19" t="s">
        <v>122</v>
      </c>
      <c r="P22" s="19"/>
      <c r="Q22" s="19"/>
      <c r="R22" s="19"/>
      <c r="S22" s="19"/>
      <c r="T22" s="19"/>
      <c r="U22" s="19"/>
      <c r="V22" s="19"/>
      <c r="W22" s="14">
        <v>10.0</v>
      </c>
      <c r="X22" s="3"/>
      <c r="Y22" s="20"/>
      <c r="Z22" s="18"/>
      <c r="AA22" s="18"/>
      <c r="AB22" s="3"/>
      <c r="AC22" s="3"/>
      <c r="AD22" s="3"/>
      <c r="AE22" s="3"/>
      <c r="AF22" s="3"/>
      <c r="AG22" s="3"/>
    </row>
    <row r="23">
      <c r="C23" s="3"/>
      <c r="E23" s="3"/>
      <c r="G23" s="3"/>
      <c r="I23" s="3"/>
      <c r="K23" s="3"/>
      <c r="M23" s="3"/>
      <c r="O23" s="3"/>
      <c r="P23" s="3"/>
      <c r="Q23" s="3"/>
      <c r="R23" s="3"/>
      <c r="S23" s="3"/>
      <c r="T23" s="3"/>
      <c r="U23" s="3"/>
      <c r="V23" s="3"/>
      <c r="X23" s="3"/>
      <c r="Y23" s="20"/>
      <c r="Z23" s="18"/>
      <c r="AA23" s="18"/>
      <c r="AB23" s="3"/>
      <c r="AC23" s="3"/>
      <c r="AD23" s="3"/>
      <c r="AE23" s="3"/>
      <c r="AF23" s="3"/>
      <c r="AG23" s="3"/>
    </row>
    <row r="24">
      <c r="A24" s="17" t="s">
        <v>123</v>
      </c>
      <c r="B24" s="17"/>
      <c r="C24" s="17" t="s">
        <v>123</v>
      </c>
      <c r="D24" s="17"/>
      <c r="E24" s="17" t="s">
        <v>123</v>
      </c>
      <c r="F24" s="17"/>
      <c r="G24" s="17" t="s">
        <v>123</v>
      </c>
      <c r="H24" s="17"/>
      <c r="I24" s="17" t="s">
        <v>123</v>
      </c>
      <c r="J24" s="17"/>
      <c r="K24" s="17" t="s">
        <v>123</v>
      </c>
      <c r="L24" s="17"/>
      <c r="M24" s="17" t="s">
        <v>123</v>
      </c>
      <c r="N24" s="17"/>
      <c r="O24" s="17" t="s">
        <v>123</v>
      </c>
      <c r="P24" s="17"/>
      <c r="Q24" s="17"/>
      <c r="R24" s="17"/>
      <c r="S24" s="17"/>
      <c r="T24" s="17"/>
      <c r="U24" s="17"/>
      <c r="V24" s="17"/>
      <c r="W24" s="17"/>
      <c r="X24" s="17"/>
      <c r="Y24" s="20"/>
      <c r="Z24" s="18"/>
      <c r="AA24" s="18"/>
      <c r="AB24" s="17"/>
      <c r="AC24" s="17"/>
      <c r="AD24" s="17"/>
      <c r="AE24" s="17"/>
      <c r="AF24" s="17"/>
      <c r="AG24" s="17"/>
    </row>
    <row r="25">
      <c r="A25" s="19" t="s">
        <v>124</v>
      </c>
      <c r="B25" s="14">
        <v>7.0</v>
      </c>
      <c r="C25" s="19" t="s">
        <v>125</v>
      </c>
      <c r="D25" s="14">
        <v>9.0</v>
      </c>
      <c r="E25" s="19" t="s">
        <v>126</v>
      </c>
      <c r="F25" s="14">
        <v>15.0</v>
      </c>
      <c r="G25" s="3" t="s">
        <v>127</v>
      </c>
      <c r="H25" s="3"/>
      <c r="I25" s="3" t="s">
        <v>128</v>
      </c>
      <c r="J25" s="14"/>
      <c r="K25" s="3" t="s">
        <v>129</v>
      </c>
      <c r="L25" s="14"/>
      <c r="M25" s="3" t="s">
        <v>130</v>
      </c>
      <c r="N25" s="3"/>
      <c r="O25" s="19" t="s">
        <v>131</v>
      </c>
      <c r="P25" s="19"/>
      <c r="Q25" s="19"/>
      <c r="R25" s="19"/>
      <c r="S25" s="19"/>
      <c r="T25" s="19"/>
      <c r="U25" s="19"/>
      <c r="V25" s="19"/>
      <c r="W25" s="14">
        <v>11.0</v>
      </c>
      <c r="X25" s="3"/>
      <c r="Y25" s="20"/>
      <c r="Z25" s="18"/>
      <c r="AA25" s="18"/>
      <c r="AB25" s="3"/>
      <c r="AC25" s="3"/>
      <c r="AD25" s="3"/>
      <c r="AE25" s="3"/>
      <c r="AF25" s="3"/>
      <c r="AG25" s="3"/>
    </row>
    <row r="26">
      <c r="A26" s="3" t="s">
        <v>132</v>
      </c>
      <c r="B26" s="14"/>
      <c r="C26" s="3" t="s">
        <v>133</v>
      </c>
      <c r="E26" s="3" t="s">
        <v>134</v>
      </c>
      <c r="F26" s="14"/>
      <c r="G26" s="19" t="s">
        <v>135</v>
      </c>
      <c r="H26" s="14">
        <v>2.0</v>
      </c>
      <c r="I26" s="19" t="s">
        <v>136</v>
      </c>
      <c r="J26" s="14">
        <v>3.0</v>
      </c>
      <c r="K26" s="3" t="s">
        <v>137</v>
      </c>
      <c r="L26" s="14"/>
      <c r="M26" s="19" t="s">
        <v>138</v>
      </c>
      <c r="N26" s="14">
        <v>17.0</v>
      </c>
      <c r="O26" s="3" t="s">
        <v>139</v>
      </c>
      <c r="P26" s="3"/>
      <c r="Q26" s="3"/>
      <c r="R26" s="3"/>
      <c r="S26" s="3"/>
      <c r="T26" s="3"/>
      <c r="U26" s="3"/>
      <c r="V26" s="3"/>
      <c r="W26" s="14"/>
      <c r="X26" s="3"/>
      <c r="Y26" s="3"/>
      <c r="Z26" s="18"/>
      <c r="AA26" s="18"/>
      <c r="AB26" s="3"/>
      <c r="AC26" s="3"/>
      <c r="AD26" s="3"/>
      <c r="AE26" s="3"/>
      <c r="AF26" s="3"/>
      <c r="AG26" s="3"/>
    </row>
    <row r="27">
      <c r="A27" s="3" t="s">
        <v>140</v>
      </c>
      <c r="B27" s="14"/>
      <c r="C27" s="3" t="s">
        <v>141</v>
      </c>
      <c r="E27" s="3" t="s">
        <v>142</v>
      </c>
      <c r="F27" s="14"/>
      <c r="G27" s="3" t="s">
        <v>143</v>
      </c>
      <c r="H27" s="14"/>
      <c r="I27" s="3" t="s">
        <v>144</v>
      </c>
      <c r="J27" s="14"/>
      <c r="K27" s="19" t="s">
        <v>145</v>
      </c>
      <c r="L27" s="14">
        <v>7.0</v>
      </c>
      <c r="M27" s="3" t="s">
        <v>146</v>
      </c>
      <c r="N27" s="14"/>
      <c r="O27" s="3" t="s">
        <v>147</v>
      </c>
      <c r="P27" s="3"/>
      <c r="Q27" s="3"/>
      <c r="R27" s="3"/>
      <c r="S27" s="3"/>
      <c r="T27" s="3"/>
      <c r="U27" s="3"/>
      <c r="V27" s="3"/>
      <c r="W27" s="14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>
      <c r="C28" s="3"/>
      <c r="E28" s="3"/>
      <c r="G28" s="3"/>
      <c r="I28" s="3"/>
      <c r="K28" s="3"/>
      <c r="M28" s="3"/>
      <c r="O28" s="3"/>
      <c r="P28" s="3"/>
      <c r="Q28" s="3"/>
      <c r="R28" s="3"/>
      <c r="S28" s="3"/>
      <c r="T28" s="3"/>
      <c r="U28" s="3"/>
      <c r="V28" s="3"/>
      <c r="X28" s="3"/>
      <c r="Y28" s="14"/>
      <c r="Z28" s="3"/>
      <c r="AA28" s="3"/>
      <c r="AB28" s="3"/>
      <c r="AC28" s="3"/>
      <c r="AD28" s="3"/>
      <c r="AE28" s="3"/>
      <c r="AF28" s="3"/>
      <c r="AG28" s="3"/>
    </row>
    <row r="29">
      <c r="A29" s="17" t="s">
        <v>148</v>
      </c>
      <c r="C29" s="17" t="s">
        <v>148</v>
      </c>
      <c r="E29" s="17" t="s">
        <v>148</v>
      </c>
      <c r="G29" s="17" t="s">
        <v>148</v>
      </c>
      <c r="I29" s="17" t="s">
        <v>148</v>
      </c>
      <c r="K29" s="17" t="s">
        <v>148</v>
      </c>
      <c r="M29" s="17" t="s">
        <v>148</v>
      </c>
      <c r="O29" s="17" t="s">
        <v>148</v>
      </c>
      <c r="P29" s="17"/>
      <c r="Q29" s="17"/>
      <c r="R29" s="17"/>
      <c r="S29" s="17"/>
      <c r="T29" s="17"/>
      <c r="U29" s="17"/>
      <c r="V29" s="17"/>
      <c r="X29" s="17"/>
      <c r="Y29" s="17"/>
      <c r="Z29" s="16"/>
      <c r="AA29" s="17"/>
      <c r="AB29" s="17"/>
      <c r="AC29" s="17"/>
      <c r="AD29" s="17"/>
      <c r="AE29" s="17"/>
      <c r="AF29" s="17"/>
      <c r="AG29" s="17"/>
    </row>
    <row r="30">
      <c r="A30" s="3" t="s">
        <v>149</v>
      </c>
      <c r="B30" s="14"/>
      <c r="C30" s="3" t="s">
        <v>150</v>
      </c>
      <c r="D30" s="14"/>
      <c r="E30" s="19" t="s">
        <v>151</v>
      </c>
      <c r="F30" s="14">
        <v>5.0</v>
      </c>
      <c r="G30" s="3" t="s">
        <v>152</v>
      </c>
      <c r="H30" s="14"/>
      <c r="I30" s="19" t="s">
        <v>153</v>
      </c>
      <c r="J30" s="14">
        <v>6.0</v>
      </c>
      <c r="K30" s="19" t="s">
        <v>154</v>
      </c>
      <c r="L30" s="14">
        <v>8.0</v>
      </c>
      <c r="M30" s="19" t="s">
        <v>155</v>
      </c>
      <c r="N30" s="14">
        <v>9.0</v>
      </c>
      <c r="O30" s="19" t="s">
        <v>156</v>
      </c>
      <c r="P30" s="19"/>
      <c r="Q30" s="19"/>
      <c r="R30" s="19"/>
      <c r="S30" s="19"/>
      <c r="T30" s="19"/>
      <c r="U30" s="19"/>
      <c r="V30" s="19"/>
      <c r="W30" s="14">
        <v>1.0</v>
      </c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>
      <c r="A31" s="19" t="s">
        <v>157</v>
      </c>
      <c r="B31" s="14">
        <v>4.0</v>
      </c>
      <c r="C31" s="19" t="s">
        <v>158</v>
      </c>
      <c r="D31" s="14">
        <v>9.0</v>
      </c>
      <c r="E31" s="3" t="s">
        <v>159</v>
      </c>
      <c r="F31" s="14"/>
      <c r="G31" s="19" t="s">
        <v>160</v>
      </c>
      <c r="H31" s="14">
        <v>0.0</v>
      </c>
      <c r="I31" s="3" t="s">
        <v>161</v>
      </c>
      <c r="J31" s="14"/>
      <c r="K31" s="3" t="s">
        <v>162</v>
      </c>
      <c r="L31" s="14"/>
      <c r="M31" s="3" t="s">
        <v>163</v>
      </c>
      <c r="N31" s="14"/>
      <c r="O31" s="3" t="s">
        <v>164</v>
      </c>
      <c r="P31" s="3"/>
      <c r="Q31" s="3"/>
      <c r="R31" s="3"/>
      <c r="S31" s="3"/>
      <c r="T31" s="3"/>
      <c r="U31" s="3"/>
      <c r="V31" s="3"/>
      <c r="W31" s="14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>
      <c r="A33" s="17" t="s">
        <v>165</v>
      </c>
      <c r="B33" s="17"/>
      <c r="C33" s="17" t="s">
        <v>165</v>
      </c>
      <c r="D33" s="17"/>
      <c r="E33" s="17" t="s">
        <v>165</v>
      </c>
      <c r="F33" s="17"/>
      <c r="G33" s="17" t="s">
        <v>165</v>
      </c>
      <c r="H33" s="17"/>
      <c r="I33" s="17" t="s">
        <v>165</v>
      </c>
      <c r="J33" s="17"/>
      <c r="K33" s="17" t="s">
        <v>165</v>
      </c>
      <c r="L33" s="17"/>
      <c r="M33" s="17" t="s">
        <v>165</v>
      </c>
      <c r="N33" s="17"/>
      <c r="O33" s="17" t="s">
        <v>165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>
      <c r="A34" s="3" t="s">
        <v>166</v>
      </c>
      <c r="B34" s="17"/>
      <c r="C34" s="19" t="s">
        <v>167</v>
      </c>
      <c r="D34" s="14">
        <v>7.0</v>
      </c>
      <c r="E34" s="19" t="s">
        <v>168</v>
      </c>
      <c r="F34" s="14">
        <v>8.0</v>
      </c>
      <c r="G34" s="19" t="s">
        <v>169</v>
      </c>
      <c r="H34" s="14">
        <v>8.0</v>
      </c>
      <c r="I34" s="19" t="s">
        <v>170</v>
      </c>
      <c r="J34" s="14">
        <v>9.0</v>
      </c>
      <c r="K34" s="19" t="s">
        <v>171</v>
      </c>
      <c r="L34" s="14">
        <v>5.0</v>
      </c>
      <c r="M34" s="19" t="s">
        <v>172</v>
      </c>
      <c r="N34" s="14">
        <v>8.0</v>
      </c>
      <c r="O34" s="3" t="s">
        <v>173</v>
      </c>
      <c r="P34" s="3"/>
      <c r="Q34" s="3"/>
      <c r="R34" s="3"/>
      <c r="S34" s="3"/>
      <c r="T34" s="3"/>
      <c r="U34" s="3"/>
      <c r="V34" s="3"/>
      <c r="W34" s="14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19" t="s">
        <v>174</v>
      </c>
      <c r="B35" s="14">
        <v>0.0</v>
      </c>
      <c r="C35" s="3" t="s">
        <v>175</v>
      </c>
      <c r="D35" s="14"/>
      <c r="E35" s="3" t="s">
        <v>176</v>
      </c>
      <c r="F35" s="14"/>
      <c r="G35" s="3" t="s">
        <v>177</v>
      </c>
      <c r="H35" s="14"/>
      <c r="I35" s="3" t="s">
        <v>178</v>
      </c>
      <c r="J35" s="14"/>
      <c r="K35" s="3" t="s">
        <v>179</v>
      </c>
      <c r="L35" s="14"/>
      <c r="M35" s="3" t="s">
        <v>180</v>
      </c>
      <c r="N35" s="14"/>
      <c r="O35" s="19" t="s">
        <v>181</v>
      </c>
      <c r="P35" s="19"/>
      <c r="Q35" s="19"/>
      <c r="R35" s="19"/>
      <c r="S35" s="19"/>
      <c r="T35" s="19"/>
      <c r="U35" s="19"/>
      <c r="V35" s="19"/>
      <c r="W35" s="14">
        <v>14.0</v>
      </c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3"/>
      <c r="B36" s="3"/>
      <c r="C36" s="3"/>
      <c r="D36" s="3"/>
      <c r="F36" s="3"/>
      <c r="G36" s="3"/>
      <c r="H36" s="19"/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17" t="s">
        <v>182</v>
      </c>
      <c r="B37" s="17"/>
      <c r="C37" s="17" t="s">
        <v>182</v>
      </c>
      <c r="D37" s="17"/>
      <c r="E37" s="17" t="s">
        <v>182</v>
      </c>
      <c r="F37" s="17"/>
      <c r="G37" s="17" t="s">
        <v>182</v>
      </c>
      <c r="H37" s="17"/>
      <c r="I37" s="17" t="s">
        <v>182</v>
      </c>
      <c r="J37" s="17"/>
      <c r="K37" s="17" t="s">
        <v>182</v>
      </c>
      <c r="L37" s="17"/>
      <c r="M37" s="17" t="s">
        <v>182</v>
      </c>
      <c r="N37" s="17"/>
      <c r="O37" s="17" t="s">
        <v>182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</row>
    <row r="38">
      <c r="A38" s="19" t="s">
        <v>183</v>
      </c>
      <c r="B38" s="14">
        <v>4.0</v>
      </c>
      <c r="C38" s="3" t="s">
        <v>184</v>
      </c>
      <c r="D38" s="14"/>
      <c r="E38" s="3" t="s">
        <v>185</v>
      </c>
      <c r="F38" s="14"/>
      <c r="G38" s="19" t="s">
        <v>186</v>
      </c>
      <c r="H38" s="14">
        <v>-2.0</v>
      </c>
      <c r="I38" s="19" t="s">
        <v>187</v>
      </c>
      <c r="J38" s="14">
        <v>3.0</v>
      </c>
      <c r="K38" s="3" t="s">
        <v>188</v>
      </c>
      <c r="L38" s="14"/>
      <c r="M38" s="3" t="s">
        <v>189</v>
      </c>
      <c r="N38" s="14"/>
      <c r="O38" s="19" t="s">
        <v>190</v>
      </c>
      <c r="P38" s="19"/>
      <c r="Q38" s="19"/>
      <c r="R38" s="19"/>
      <c r="S38" s="19"/>
      <c r="T38" s="19"/>
      <c r="U38" s="19"/>
      <c r="V38" s="19"/>
      <c r="W38" s="14">
        <v>2.0</v>
      </c>
      <c r="Y38" s="3"/>
      <c r="Z38" s="3"/>
      <c r="AA38" s="3"/>
      <c r="AB38" s="3"/>
      <c r="AC38" s="3"/>
      <c r="AD38" s="3"/>
      <c r="AE38" s="3"/>
      <c r="AF38" s="3"/>
      <c r="AG38" s="3"/>
    </row>
    <row r="39">
      <c r="A39" s="3" t="s">
        <v>191</v>
      </c>
      <c r="B39" s="14"/>
      <c r="C39" s="3" t="s">
        <v>192</v>
      </c>
      <c r="D39" s="14"/>
      <c r="E39" s="19" t="s">
        <v>193</v>
      </c>
      <c r="F39" s="14">
        <v>4.0</v>
      </c>
      <c r="G39" s="3" t="s">
        <v>194</v>
      </c>
      <c r="H39" s="14"/>
      <c r="I39" s="3" t="s">
        <v>195</v>
      </c>
      <c r="J39" s="14"/>
      <c r="K39" s="19" t="s">
        <v>196</v>
      </c>
      <c r="L39" s="14">
        <v>4.0</v>
      </c>
      <c r="M39" s="19" t="s">
        <v>197</v>
      </c>
      <c r="N39" s="14">
        <v>-3.0</v>
      </c>
      <c r="O39" s="3" t="s">
        <v>198</v>
      </c>
      <c r="P39" s="3"/>
      <c r="Q39" s="3"/>
      <c r="R39" s="3"/>
      <c r="S39" s="3"/>
      <c r="T39" s="3"/>
      <c r="U39" s="3"/>
      <c r="V39" s="3"/>
      <c r="W39" s="14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>
      <c r="A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>
      <c r="A41" s="3"/>
      <c r="B41" s="3">
        <f>SUM(B8:B39)</f>
        <v>75</v>
      </c>
      <c r="C41" s="3"/>
      <c r="D41" s="3">
        <f>SUM(D8:D39)</f>
        <v>78</v>
      </c>
      <c r="E41" s="3"/>
      <c r="F41" s="3">
        <f>SUM(F8:F39)</f>
        <v>135</v>
      </c>
      <c r="G41" s="3"/>
      <c r="H41" s="3">
        <f>SUM(H8:H39)</f>
        <v>104</v>
      </c>
      <c r="I41" s="3"/>
      <c r="J41" s="3">
        <f>SUM(J8:J39)</f>
        <v>96</v>
      </c>
      <c r="K41" s="3"/>
      <c r="L41" s="3">
        <f>SUM(L8:L39)</f>
        <v>74</v>
      </c>
      <c r="M41" s="3"/>
      <c r="N41" s="3">
        <f>SUM(N8:N39)</f>
        <v>122</v>
      </c>
      <c r="O41" s="3"/>
      <c r="P41" s="3"/>
      <c r="Q41" s="3"/>
      <c r="R41" s="3"/>
      <c r="S41" s="3"/>
      <c r="T41" s="3"/>
      <c r="U41" s="3"/>
      <c r="V41" s="3"/>
      <c r="W41" s="3">
        <f>SUM(W8:W39)</f>
        <v>96</v>
      </c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>
      <c r="A42" s="3"/>
      <c r="D42" s="3"/>
      <c r="E42" s="3"/>
      <c r="F42" s="14"/>
      <c r="L42" s="14"/>
      <c r="M42" s="3"/>
      <c r="N42" s="20"/>
      <c r="O42" s="3"/>
      <c r="P42" s="3"/>
      <c r="Q42" s="3"/>
      <c r="R42" s="3"/>
      <c r="S42" s="3"/>
      <c r="T42" s="3"/>
      <c r="U42" s="3"/>
      <c r="V42" s="3"/>
      <c r="W42" s="14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>
      <c r="A43" s="17"/>
      <c r="B43" s="14"/>
      <c r="C43" s="3"/>
      <c r="D43" s="17"/>
      <c r="E43" s="17"/>
      <c r="F43" s="17"/>
      <c r="G43" s="3"/>
      <c r="H43" s="14"/>
      <c r="I43" s="3"/>
      <c r="J43" s="14"/>
      <c r="K43" s="3"/>
      <c r="L43" s="17"/>
      <c r="M43" s="17"/>
      <c r="O43" s="17"/>
      <c r="P43" s="17"/>
      <c r="Q43" s="17"/>
      <c r="R43" s="17"/>
      <c r="S43" s="17"/>
      <c r="T43" s="17"/>
      <c r="U43" s="17"/>
      <c r="V43" s="17"/>
      <c r="W43" s="16"/>
      <c r="X43" s="17"/>
      <c r="Y43" s="17"/>
      <c r="Z43" s="17"/>
      <c r="AA43" s="17"/>
      <c r="AB43" s="17"/>
      <c r="AC43" s="17"/>
      <c r="AD43" s="17"/>
      <c r="AE43" s="17"/>
      <c r="AF43" s="17"/>
      <c r="AG43" s="17"/>
    </row>
    <row r="44">
      <c r="A44" s="17"/>
      <c r="B44" s="14"/>
      <c r="C44" s="3"/>
      <c r="D44" s="17"/>
      <c r="E44" s="17"/>
      <c r="F44" s="17"/>
      <c r="G44" s="3"/>
      <c r="H44" s="14"/>
      <c r="I44" s="3"/>
      <c r="J44" s="14"/>
      <c r="K44" s="3"/>
      <c r="L44" s="17"/>
      <c r="M44" s="17"/>
      <c r="O44" s="17"/>
      <c r="P44" s="17"/>
      <c r="Q44" s="17"/>
      <c r="R44" s="17"/>
      <c r="S44" s="17"/>
      <c r="T44" s="17"/>
      <c r="U44" s="17"/>
      <c r="V44" s="24"/>
      <c r="W44" s="16"/>
      <c r="X44" s="17"/>
      <c r="Y44" s="17"/>
      <c r="Z44" s="17"/>
      <c r="AA44" s="17"/>
      <c r="AB44" s="17"/>
      <c r="AC44" s="17"/>
      <c r="AD44" s="17"/>
      <c r="AE44" s="17"/>
      <c r="AF44" s="17"/>
      <c r="AG44" s="17"/>
    </row>
    <row r="45">
      <c r="A45" s="3"/>
      <c r="B45" s="23"/>
      <c r="C45" s="17"/>
      <c r="D45" s="3"/>
      <c r="F45" s="3"/>
      <c r="G45" s="17"/>
      <c r="H45" s="17"/>
      <c r="I45" s="17"/>
      <c r="J45" s="17"/>
      <c r="K45" s="1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17"/>
      <c r="C46" s="3"/>
      <c r="D46" s="17"/>
      <c r="F46" s="17"/>
      <c r="G46" s="3"/>
      <c r="H46" s="3"/>
      <c r="I46" s="25" t="s">
        <v>199</v>
      </c>
      <c r="K46" s="3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</row>
    <row r="47">
      <c r="C47" s="17"/>
      <c r="D47" s="3"/>
      <c r="F47" s="3"/>
      <c r="G47" s="17"/>
      <c r="H47" s="17"/>
      <c r="I47" s="16" t="s">
        <v>200</v>
      </c>
      <c r="J47" s="16" t="s">
        <v>201</v>
      </c>
      <c r="K47" s="16" t="s">
        <v>202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C48" s="3"/>
      <c r="D48" s="17"/>
      <c r="F48" s="17"/>
      <c r="G48" s="3"/>
      <c r="H48" s="3"/>
      <c r="I48" s="14" t="s">
        <v>203</v>
      </c>
      <c r="J48" s="18">
        <f>J41+'Playoffs, Week 1'!J41</f>
        <v>179</v>
      </c>
      <c r="K48" s="18">
        <f t="shared" ref="K48:K51" si="1">rank(J48, J$48:J$51, 0)</f>
        <v>4</v>
      </c>
      <c r="L48" s="19"/>
      <c r="M48" s="19" t="s">
        <v>170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</row>
    <row r="49">
      <c r="B49" s="3"/>
      <c r="C49" s="17"/>
      <c r="D49" s="3"/>
      <c r="F49" s="3"/>
      <c r="H49" s="17"/>
      <c r="I49" s="23" t="s">
        <v>204</v>
      </c>
      <c r="J49" s="18">
        <f>W41+'Playoffs, Week 1'!P41</f>
        <v>181</v>
      </c>
      <c r="K49" s="18">
        <f t="shared" si="1"/>
        <v>3</v>
      </c>
      <c r="L49" s="19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17"/>
      <c r="B50" s="17"/>
      <c r="C50" s="3"/>
      <c r="D50" s="17"/>
      <c r="F50" s="17"/>
      <c r="H50" s="3"/>
      <c r="I50" s="23" t="s">
        <v>205</v>
      </c>
      <c r="J50" s="18">
        <f>N41+'Playoffs, Week 1'!N41</f>
        <v>185</v>
      </c>
      <c r="K50" s="18">
        <f t="shared" si="1"/>
        <v>2</v>
      </c>
      <c r="L50" s="19"/>
      <c r="M50" s="19" t="s">
        <v>197</v>
      </c>
      <c r="N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>
      <c r="A51" s="3"/>
      <c r="B51" s="3"/>
      <c r="C51" s="3"/>
      <c r="D51" s="3"/>
      <c r="F51" s="3"/>
      <c r="H51" s="3"/>
      <c r="I51" s="23" t="s">
        <v>206</v>
      </c>
      <c r="J51" s="18">
        <f>L41+'Playoffs, Week 1'!L41</f>
        <v>193</v>
      </c>
      <c r="K51" s="18">
        <f t="shared" si="1"/>
        <v>1</v>
      </c>
      <c r="M51" s="3"/>
      <c r="N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</sheetData>
  <mergeCells count="2">
    <mergeCell ref="Y6:Z6"/>
    <mergeCell ref="I46:J46"/>
  </mergeCells>
  <conditionalFormatting sqref="AA18:AA25">
    <cfRule type="cellIs" dxfId="0" priority="1" operator="lessThanOrEqual">
      <formula>4</formula>
    </cfRule>
  </conditionalFormatting>
  <conditionalFormatting sqref="AA18:AA25">
    <cfRule type="cellIs" dxfId="1" priority="2" operator="greaterThanOrEqual">
      <formula>5</formula>
    </cfRule>
  </conditionalFormatting>
  <conditionalFormatting sqref="K48:K51">
    <cfRule type="cellIs" dxfId="0" priority="3" operator="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3.13"/>
    <col customWidth="1" min="5" max="5" width="14.25"/>
    <col customWidth="1" min="7" max="7" width="13.38"/>
    <col customWidth="1" min="9" max="9" width="12.38"/>
    <col customWidth="1" min="11" max="11" width="13.75"/>
    <col customWidth="1" min="13" max="13" width="15.13"/>
    <col customWidth="1" min="15" max="15" width="16.13"/>
    <col customWidth="1" min="18" max="18" width="14.38"/>
    <col customWidth="1" min="22" max="22" width="28.13"/>
  </cols>
  <sheetData>
    <row r="1">
      <c r="A1" s="1" t="s">
        <v>207</v>
      </c>
      <c r="B1" s="2"/>
      <c r="C1" s="3"/>
      <c r="D1" s="26" t="s">
        <v>208</v>
      </c>
      <c r="E1" s="3"/>
      <c r="F1" s="6" t="s">
        <v>3</v>
      </c>
      <c r="G1" s="3"/>
      <c r="H1" s="7" t="s">
        <v>4</v>
      </c>
      <c r="I1" s="3"/>
      <c r="J1" s="8" t="s">
        <v>5</v>
      </c>
      <c r="K1" s="3"/>
      <c r="L1" s="9" t="s">
        <v>6</v>
      </c>
      <c r="M1" s="3"/>
      <c r="N1" s="5" t="s">
        <v>2</v>
      </c>
      <c r="O1" s="3"/>
      <c r="P1" s="3"/>
      <c r="Q1" s="3"/>
      <c r="R1" s="3"/>
      <c r="S1" s="3"/>
      <c r="T1" s="3"/>
      <c r="U1" s="3"/>
      <c r="V1" s="10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7</v>
      </c>
      <c r="B3" s="3"/>
      <c r="C3" s="11" t="s">
        <v>10</v>
      </c>
      <c r="D3" s="3"/>
      <c r="E3" s="11" t="s">
        <v>9</v>
      </c>
      <c r="F3" s="3"/>
      <c r="G3" s="12" t="s">
        <v>8</v>
      </c>
      <c r="H3" s="3"/>
      <c r="I3" s="11" t="s">
        <v>11</v>
      </c>
      <c r="J3" s="3"/>
      <c r="K3" s="11" t="s">
        <v>12</v>
      </c>
      <c r="L3" s="3"/>
      <c r="M3" s="11" t="s">
        <v>13</v>
      </c>
      <c r="N3" s="3"/>
      <c r="O3" s="13" t="s">
        <v>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15</v>
      </c>
      <c r="B4" s="14"/>
      <c r="C4" s="3" t="s">
        <v>18</v>
      </c>
      <c r="D4" s="3"/>
      <c r="E4" s="15" t="s">
        <v>17</v>
      </c>
      <c r="F4" s="3"/>
      <c r="G4" s="3" t="s">
        <v>16</v>
      </c>
      <c r="H4" s="3"/>
      <c r="I4" s="3" t="s">
        <v>19</v>
      </c>
      <c r="J4" s="3"/>
      <c r="K4" s="3" t="s">
        <v>20</v>
      </c>
      <c r="L4" s="3"/>
      <c r="M4" s="3" t="s">
        <v>21</v>
      </c>
      <c r="N4" s="3"/>
      <c r="O4" s="3" t="s">
        <v>22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23</v>
      </c>
      <c r="B5" s="3"/>
      <c r="C5" s="14" t="s">
        <v>26</v>
      </c>
      <c r="D5" s="3"/>
      <c r="E5" s="14" t="s">
        <v>25</v>
      </c>
      <c r="F5" s="3"/>
      <c r="G5" s="14" t="s">
        <v>24</v>
      </c>
      <c r="H5" s="3"/>
      <c r="I5" s="14" t="s">
        <v>27</v>
      </c>
      <c r="J5" s="3"/>
      <c r="K5" s="14" t="s">
        <v>28</v>
      </c>
      <c r="L5" s="3"/>
      <c r="M5" s="14" t="s">
        <v>29</v>
      </c>
      <c r="N5" s="3"/>
      <c r="O5" s="14" t="s">
        <v>30</v>
      </c>
      <c r="P5" s="3"/>
      <c r="Q5" s="3"/>
      <c r="R5" s="14"/>
      <c r="S5" s="3"/>
      <c r="T5" s="3"/>
      <c r="U5" s="3"/>
      <c r="V5" s="14"/>
      <c r="W5" s="3"/>
      <c r="X5" s="3"/>
      <c r="Y5" s="3"/>
      <c r="Z5" s="3"/>
    </row>
    <row r="6">
      <c r="A6" s="3"/>
      <c r="B6" s="16" t="s">
        <v>31</v>
      </c>
      <c r="C6" s="3"/>
      <c r="D6" s="16" t="s">
        <v>31</v>
      </c>
      <c r="E6" s="3"/>
      <c r="F6" s="16" t="s">
        <v>31</v>
      </c>
      <c r="G6" s="3"/>
      <c r="H6" s="16" t="s">
        <v>31</v>
      </c>
      <c r="I6" s="3"/>
      <c r="J6" s="16" t="s">
        <v>31</v>
      </c>
      <c r="K6" s="3"/>
      <c r="L6" s="16" t="s">
        <v>31</v>
      </c>
      <c r="M6" s="3"/>
      <c r="N6" s="16" t="s">
        <v>31</v>
      </c>
      <c r="O6" s="3"/>
      <c r="P6" s="16" t="s">
        <v>31</v>
      </c>
      <c r="Q6" s="3"/>
      <c r="R6" s="16"/>
      <c r="T6" s="3"/>
      <c r="U6" s="3"/>
      <c r="V6" s="3"/>
      <c r="W6" s="3"/>
      <c r="X6" s="3"/>
      <c r="Y6" s="3"/>
      <c r="Z6" s="3"/>
    </row>
    <row r="7">
      <c r="A7" s="17" t="s">
        <v>32</v>
      </c>
      <c r="B7" s="17"/>
      <c r="C7" s="17" t="s">
        <v>32</v>
      </c>
      <c r="D7" s="17"/>
      <c r="E7" s="17" t="s">
        <v>32</v>
      </c>
      <c r="F7" s="17"/>
      <c r="G7" s="17" t="s">
        <v>32</v>
      </c>
      <c r="H7" s="17"/>
      <c r="I7" s="17" t="s">
        <v>32</v>
      </c>
      <c r="J7" s="17"/>
      <c r="K7" s="17" t="s">
        <v>32</v>
      </c>
      <c r="L7" s="17"/>
      <c r="M7" s="17" t="s">
        <v>32</v>
      </c>
      <c r="N7" s="17"/>
      <c r="O7" s="17" t="s">
        <v>32</v>
      </c>
      <c r="P7" s="17"/>
      <c r="Q7" s="17"/>
      <c r="R7" s="14"/>
      <c r="S7" s="17"/>
      <c r="T7" s="17"/>
      <c r="U7" s="17"/>
      <c r="V7" s="18"/>
      <c r="W7" s="17"/>
      <c r="X7" s="17"/>
      <c r="Y7" s="17"/>
      <c r="Z7" s="17"/>
    </row>
    <row r="8">
      <c r="A8" s="19" t="s">
        <v>33</v>
      </c>
      <c r="B8" s="14">
        <v>33.0</v>
      </c>
      <c r="C8" s="19" t="s">
        <v>36</v>
      </c>
      <c r="D8" s="14">
        <v>26.0</v>
      </c>
      <c r="E8" s="19" t="s">
        <v>35</v>
      </c>
      <c r="F8" s="14">
        <v>43.0</v>
      </c>
      <c r="G8" s="19" t="s">
        <v>34</v>
      </c>
      <c r="H8" s="14">
        <v>38.0</v>
      </c>
      <c r="I8" s="19" t="s">
        <v>37</v>
      </c>
      <c r="J8" s="14">
        <v>34.0</v>
      </c>
      <c r="K8" s="3" t="s">
        <v>38</v>
      </c>
      <c r="L8" s="3"/>
      <c r="M8" s="19" t="s">
        <v>39</v>
      </c>
      <c r="N8" s="14">
        <v>27.0</v>
      </c>
      <c r="O8" s="19" t="s">
        <v>40</v>
      </c>
      <c r="P8" s="14">
        <v>19.0</v>
      </c>
      <c r="Q8" s="3"/>
      <c r="R8" s="14"/>
      <c r="S8" s="14"/>
      <c r="T8" s="3"/>
      <c r="U8" s="3"/>
      <c r="V8" s="14"/>
      <c r="W8" s="3"/>
      <c r="X8" s="3"/>
      <c r="Y8" s="3"/>
      <c r="Z8" s="3"/>
    </row>
    <row r="9">
      <c r="A9" s="3" t="s">
        <v>41</v>
      </c>
      <c r="B9" s="14"/>
      <c r="C9" s="3" t="s">
        <v>44</v>
      </c>
      <c r="D9" s="14"/>
      <c r="E9" s="3" t="s">
        <v>43</v>
      </c>
      <c r="F9" s="14"/>
      <c r="G9" s="3" t="s">
        <v>42</v>
      </c>
      <c r="H9" s="14"/>
      <c r="I9" s="3" t="s">
        <v>45</v>
      </c>
      <c r="J9" s="14"/>
      <c r="K9" s="19" t="s">
        <v>46</v>
      </c>
      <c r="L9" s="14">
        <v>24.0</v>
      </c>
      <c r="M9" s="3" t="s">
        <v>47</v>
      </c>
      <c r="N9" s="14"/>
      <c r="O9" s="3" t="s">
        <v>48</v>
      </c>
      <c r="P9" s="14"/>
      <c r="Q9" s="3"/>
      <c r="R9" s="14"/>
      <c r="S9" s="14"/>
      <c r="T9" s="3"/>
      <c r="U9" s="3"/>
      <c r="V9" s="3"/>
      <c r="W9" s="3"/>
      <c r="X9" s="3"/>
      <c r="Y9" s="3"/>
      <c r="Z9" s="3"/>
    </row>
    <row r="10">
      <c r="A10" s="3" t="s">
        <v>49</v>
      </c>
      <c r="B10" s="3"/>
      <c r="C10" s="3" t="s">
        <v>52</v>
      </c>
      <c r="D10" s="3"/>
      <c r="E10" s="3" t="s">
        <v>51</v>
      </c>
      <c r="F10" s="3"/>
      <c r="G10" s="3" t="s">
        <v>50</v>
      </c>
      <c r="H10" s="3"/>
      <c r="I10" s="3" t="s">
        <v>53</v>
      </c>
      <c r="J10" s="3"/>
      <c r="K10" s="3" t="s">
        <v>54</v>
      </c>
      <c r="L10" s="3"/>
      <c r="M10" s="3" t="s">
        <v>55</v>
      </c>
      <c r="N10" s="3"/>
      <c r="O10" s="3" t="s">
        <v>56</v>
      </c>
      <c r="P10" s="3"/>
      <c r="Q10" s="3"/>
      <c r="R10" s="14"/>
      <c r="S10" s="14"/>
      <c r="T10" s="3"/>
      <c r="U10" s="3"/>
      <c r="V10" s="3"/>
      <c r="W10" s="3"/>
      <c r="X10" s="3"/>
      <c r="Y10" s="3"/>
      <c r="Z10" s="3"/>
    </row>
    <row r="11">
      <c r="C11" s="3"/>
      <c r="E11" s="3"/>
      <c r="G11" s="3"/>
      <c r="I11" s="3"/>
      <c r="K11" s="3"/>
      <c r="M11" s="3"/>
      <c r="O11" s="3"/>
      <c r="Q11" s="3"/>
      <c r="R11" s="14"/>
      <c r="S11" s="14"/>
      <c r="T11" s="3"/>
      <c r="U11" s="3"/>
      <c r="V11" s="3"/>
      <c r="W11" s="3"/>
      <c r="X11" s="3"/>
      <c r="Y11" s="3"/>
      <c r="Z11" s="3"/>
    </row>
    <row r="12">
      <c r="A12" s="17" t="s">
        <v>57</v>
      </c>
      <c r="B12" s="17"/>
      <c r="C12" s="17" t="s">
        <v>57</v>
      </c>
      <c r="D12" s="17"/>
      <c r="E12" s="17" t="s">
        <v>57</v>
      </c>
      <c r="G12" s="17" t="s">
        <v>57</v>
      </c>
      <c r="H12" s="17"/>
      <c r="I12" s="17" t="s">
        <v>57</v>
      </c>
      <c r="J12" s="17"/>
      <c r="K12" s="17" t="s">
        <v>57</v>
      </c>
      <c r="L12" s="17"/>
      <c r="M12" s="17" t="s">
        <v>57</v>
      </c>
      <c r="N12" s="17"/>
      <c r="O12" s="17" t="s">
        <v>57</v>
      </c>
      <c r="P12" s="17"/>
      <c r="Q12" s="17"/>
      <c r="R12" s="20"/>
      <c r="S12" s="20"/>
      <c r="T12" s="17"/>
      <c r="U12" s="17"/>
      <c r="V12" s="17"/>
      <c r="W12" s="17"/>
      <c r="X12" s="17"/>
      <c r="Y12" s="17"/>
      <c r="Z12" s="17"/>
    </row>
    <row r="13">
      <c r="A13" s="19" t="s">
        <v>58</v>
      </c>
      <c r="B13" s="14">
        <v>21.0</v>
      </c>
      <c r="C13" s="3" t="s">
        <v>61</v>
      </c>
      <c r="D13" s="14"/>
      <c r="E13" s="3" t="s">
        <v>60</v>
      </c>
      <c r="F13" s="17"/>
      <c r="G13" s="3" t="s">
        <v>59</v>
      </c>
      <c r="H13" s="14"/>
      <c r="I13" s="3" t="s">
        <v>62</v>
      </c>
      <c r="J13" s="14"/>
      <c r="K13" s="14" t="s">
        <v>63</v>
      </c>
      <c r="L13" s="14"/>
      <c r="M13" s="19" t="s">
        <v>64</v>
      </c>
      <c r="N13" s="14">
        <v>20.0</v>
      </c>
      <c r="O13" s="3" t="s">
        <v>65</v>
      </c>
      <c r="P13" s="14"/>
      <c r="Q13" s="3"/>
      <c r="R13" s="14"/>
      <c r="S13" s="14"/>
      <c r="T13" s="3"/>
      <c r="U13" s="3"/>
      <c r="V13" s="3"/>
      <c r="W13" s="3"/>
      <c r="X13" s="3"/>
      <c r="Y13" s="3"/>
      <c r="Z13" s="3"/>
    </row>
    <row r="14">
      <c r="A14" s="3" t="s">
        <v>66</v>
      </c>
      <c r="B14" s="3"/>
      <c r="C14" s="19" t="s">
        <v>69</v>
      </c>
      <c r="D14" s="14">
        <v>7.0</v>
      </c>
      <c r="E14" s="19" t="s">
        <v>68</v>
      </c>
      <c r="F14" s="14">
        <v>15.0</v>
      </c>
      <c r="G14" s="3" t="s">
        <v>67</v>
      </c>
      <c r="H14" s="3"/>
      <c r="I14" s="19" t="s">
        <v>70</v>
      </c>
      <c r="J14" s="14">
        <v>21.0</v>
      </c>
      <c r="K14" s="19" t="s">
        <v>71</v>
      </c>
      <c r="L14" s="14">
        <v>19.0</v>
      </c>
      <c r="M14" s="19" t="s">
        <v>72</v>
      </c>
      <c r="N14" s="14">
        <v>0.0</v>
      </c>
      <c r="O14" s="19" t="s">
        <v>73</v>
      </c>
      <c r="P14" s="14">
        <v>8.0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74</v>
      </c>
      <c r="B15" s="14"/>
      <c r="C15" s="19" t="s">
        <v>77</v>
      </c>
      <c r="D15" s="14">
        <v>6.0</v>
      </c>
      <c r="E15" s="19" t="s">
        <v>76</v>
      </c>
      <c r="F15" s="14">
        <v>13.0</v>
      </c>
      <c r="G15" s="19" t="s">
        <v>75</v>
      </c>
      <c r="H15" s="14">
        <v>15.0</v>
      </c>
      <c r="I15" s="19" t="s">
        <v>78</v>
      </c>
      <c r="J15" s="14">
        <v>1.0</v>
      </c>
      <c r="K15" s="3" t="s">
        <v>79</v>
      </c>
      <c r="L15" s="14"/>
      <c r="M15" s="3" t="s">
        <v>80</v>
      </c>
      <c r="N15" s="14"/>
      <c r="O15" s="3" t="s">
        <v>81</v>
      </c>
      <c r="P15" s="14"/>
      <c r="Q15" s="3"/>
      <c r="R15" s="14"/>
      <c r="S15" s="14"/>
      <c r="T15" s="3"/>
      <c r="U15" s="3"/>
      <c r="V15" s="3"/>
      <c r="W15" s="3"/>
      <c r="X15" s="3"/>
      <c r="Y15" s="3"/>
      <c r="Z15" s="3"/>
    </row>
    <row r="16">
      <c r="A16" s="19" t="s">
        <v>82</v>
      </c>
      <c r="B16" s="14">
        <v>13.0</v>
      </c>
      <c r="C16" s="14" t="s">
        <v>85</v>
      </c>
      <c r="D16" s="14"/>
      <c r="E16" s="14" t="s">
        <v>84</v>
      </c>
      <c r="F16" s="14"/>
      <c r="G16" s="14" t="s">
        <v>83</v>
      </c>
      <c r="H16" s="14"/>
      <c r="I16" s="3" t="s">
        <v>86</v>
      </c>
      <c r="J16" s="14"/>
      <c r="K16" s="19" t="s">
        <v>87</v>
      </c>
      <c r="L16" s="14">
        <v>29.0</v>
      </c>
      <c r="M16" s="3" t="s">
        <v>88</v>
      </c>
      <c r="N16" s="14"/>
      <c r="O16" s="19" t="s">
        <v>89</v>
      </c>
      <c r="P16" s="14">
        <v>6.0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P17" s="3"/>
      <c r="Q17" s="3"/>
      <c r="R17" s="21"/>
      <c r="S17" s="16"/>
      <c r="T17" s="16"/>
      <c r="U17" s="3"/>
      <c r="V17" s="3"/>
      <c r="W17" s="3"/>
      <c r="X17" s="3"/>
      <c r="Y17" s="3"/>
      <c r="Z17" s="3"/>
    </row>
    <row r="18">
      <c r="A18" s="17" t="s">
        <v>90</v>
      </c>
      <c r="B18" s="17"/>
      <c r="C18" s="17" t="s">
        <v>90</v>
      </c>
      <c r="D18" s="17"/>
      <c r="E18" s="17" t="s">
        <v>90</v>
      </c>
      <c r="F18" s="17"/>
      <c r="G18" s="17" t="s">
        <v>90</v>
      </c>
      <c r="H18" s="17"/>
      <c r="I18" s="17" t="s">
        <v>90</v>
      </c>
      <c r="J18" s="17"/>
      <c r="K18" s="17" t="s">
        <v>90</v>
      </c>
      <c r="L18" s="17"/>
      <c r="M18" s="17" t="s">
        <v>90</v>
      </c>
      <c r="N18" s="17"/>
      <c r="O18" s="17" t="s">
        <v>90</v>
      </c>
      <c r="P18" s="17"/>
      <c r="Q18" s="17"/>
      <c r="R18" s="20"/>
      <c r="S18" s="18"/>
      <c r="T18" s="18"/>
      <c r="U18" s="17"/>
      <c r="V18" s="17"/>
      <c r="W18" s="17"/>
      <c r="X18" s="17"/>
      <c r="Y18" s="17"/>
      <c r="Z18" s="17"/>
    </row>
    <row r="19">
      <c r="A19" s="19" t="s">
        <v>91</v>
      </c>
      <c r="B19" s="14">
        <v>11.0</v>
      </c>
      <c r="C19" s="19" t="s">
        <v>94</v>
      </c>
      <c r="D19" s="14">
        <v>4.0</v>
      </c>
      <c r="E19" s="19" t="s">
        <v>93</v>
      </c>
      <c r="F19" s="14">
        <v>4.0</v>
      </c>
      <c r="G19" s="3" t="s">
        <v>92</v>
      </c>
      <c r="H19" s="14"/>
      <c r="I19" s="3" t="s">
        <v>95</v>
      </c>
      <c r="J19" s="3"/>
      <c r="K19" s="3" t="s">
        <v>96</v>
      </c>
      <c r="L19" s="3"/>
      <c r="M19" s="19" t="s">
        <v>97</v>
      </c>
      <c r="N19" s="14">
        <v>11.0</v>
      </c>
      <c r="O19" s="14" t="s">
        <v>98</v>
      </c>
      <c r="P19" s="3"/>
      <c r="Q19" s="3"/>
      <c r="R19" s="20"/>
      <c r="S19" s="18"/>
      <c r="T19" s="18"/>
      <c r="U19" s="3"/>
      <c r="V19" s="3"/>
      <c r="W19" s="3"/>
      <c r="X19" s="3"/>
      <c r="Y19" s="3"/>
      <c r="Z19" s="3"/>
    </row>
    <row r="20">
      <c r="A20" s="14" t="s">
        <v>99</v>
      </c>
      <c r="B20" s="14"/>
      <c r="C20" s="19" t="s">
        <v>102</v>
      </c>
      <c r="D20" s="14">
        <v>7.0</v>
      </c>
      <c r="E20" s="3" t="s">
        <v>101</v>
      </c>
      <c r="F20" s="14"/>
      <c r="G20" s="23" t="s">
        <v>100</v>
      </c>
      <c r="I20" s="19" t="s">
        <v>103</v>
      </c>
      <c r="J20" s="14">
        <v>7.0</v>
      </c>
      <c r="K20" s="22" t="s">
        <v>104</v>
      </c>
      <c r="L20" s="14">
        <v>10.0</v>
      </c>
      <c r="M20" s="19" t="s">
        <v>105</v>
      </c>
      <c r="N20" s="14">
        <v>1.0</v>
      </c>
      <c r="O20" s="19" t="s">
        <v>106</v>
      </c>
      <c r="P20" s="14">
        <v>22.0</v>
      </c>
      <c r="Q20" s="3"/>
      <c r="R20" s="20"/>
      <c r="S20" s="18"/>
      <c r="T20" s="18"/>
      <c r="U20" s="3"/>
      <c r="V20" s="3"/>
      <c r="W20" s="3"/>
      <c r="X20" s="3"/>
      <c r="Y20" s="3"/>
      <c r="Z20" s="3"/>
    </row>
    <row r="21">
      <c r="A21" s="19" t="s">
        <v>107</v>
      </c>
      <c r="B21" s="14">
        <v>10.0</v>
      </c>
      <c r="C21" s="3" t="s">
        <v>110</v>
      </c>
      <c r="D21" s="14"/>
      <c r="E21" s="23" t="s">
        <v>109</v>
      </c>
      <c r="F21" s="14"/>
      <c r="G21" s="19" t="s">
        <v>108</v>
      </c>
      <c r="H21" s="14">
        <v>14.0</v>
      </c>
      <c r="I21" s="19" t="s">
        <v>111</v>
      </c>
      <c r="J21" s="14">
        <v>8.0</v>
      </c>
      <c r="K21" s="19" t="s">
        <v>112</v>
      </c>
      <c r="L21" s="14">
        <v>3.0</v>
      </c>
      <c r="M21" s="3" t="s">
        <v>113</v>
      </c>
      <c r="N21" s="14"/>
      <c r="O21" s="3" t="s">
        <v>114</v>
      </c>
      <c r="P21" s="14"/>
      <c r="Q21" s="3"/>
      <c r="R21" s="20"/>
      <c r="S21" s="18"/>
      <c r="T21" s="18"/>
      <c r="U21" s="3"/>
      <c r="V21" s="3"/>
      <c r="W21" s="3"/>
      <c r="X21" s="3"/>
      <c r="Y21" s="3"/>
      <c r="Z21" s="3"/>
    </row>
    <row r="22">
      <c r="A22" s="3" t="s">
        <v>115</v>
      </c>
      <c r="C22" s="14" t="s">
        <v>118</v>
      </c>
      <c r="E22" s="19" t="s">
        <v>117</v>
      </c>
      <c r="F22" s="14">
        <v>15.0</v>
      </c>
      <c r="G22" s="19" t="s">
        <v>116</v>
      </c>
      <c r="H22" s="14">
        <v>15.0</v>
      </c>
      <c r="I22" s="3" t="s">
        <v>119</v>
      </c>
      <c r="K22" s="14" t="s">
        <v>120</v>
      </c>
      <c r="M22" s="3" t="s">
        <v>121</v>
      </c>
      <c r="O22" s="19" t="s">
        <v>122</v>
      </c>
      <c r="P22" s="14">
        <v>8.0</v>
      </c>
      <c r="Q22" s="3"/>
      <c r="R22" s="20"/>
      <c r="S22" s="18"/>
      <c r="T22" s="18"/>
      <c r="U22" s="3"/>
      <c r="V22" s="3"/>
      <c r="W22" s="3"/>
      <c r="X22" s="3"/>
      <c r="Y22" s="3"/>
      <c r="Z22" s="3"/>
    </row>
    <row r="23">
      <c r="C23" s="3"/>
      <c r="E23" s="3"/>
      <c r="G23" s="3"/>
      <c r="I23" s="3"/>
      <c r="K23" s="3"/>
      <c r="M23" s="3"/>
      <c r="O23" s="3"/>
      <c r="Q23" s="3"/>
      <c r="R23" s="20"/>
      <c r="S23" s="18"/>
      <c r="T23" s="18"/>
      <c r="U23" s="3"/>
      <c r="V23" s="3"/>
      <c r="W23" s="3"/>
      <c r="X23" s="3"/>
      <c r="Y23" s="3"/>
      <c r="Z23" s="3"/>
    </row>
    <row r="24">
      <c r="A24" s="17" t="s">
        <v>123</v>
      </c>
      <c r="B24" s="17"/>
      <c r="C24" s="17" t="s">
        <v>123</v>
      </c>
      <c r="D24" s="17"/>
      <c r="E24" s="17" t="s">
        <v>123</v>
      </c>
      <c r="F24" s="17"/>
      <c r="G24" s="17" t="s">
        <v>123</v>
      </c>
      <c r="H24" s="17"/>
      <c r="I24" s="17" t="s">
        <v>123</v>
      </c>
      <c r="J24" s="17"/>
      <c r="K24" s="17" t="s">
        <v>123</v>
      </c>
      <c r="L24" s="17"/>
      <c r="M24" s="17" t="s">
        <v>123</v>
      </c>
      <c r="N24" s="17"/>
      <c r="O24" s="17" t="s">
        <v>123</v>
      </c>
      <c r="P24" s="17"/>
      <c r="Q24" s="17"/>
      <c r="R24" s="20"/>
      <c r="S24" s="18"/>
      <c r="T24" s="18"/>
      <c r="U24" s="17"/>
      <c r="V24" s="17"/>
      <c r="W24" s="17"/>
      <c r="X24" s="17"/>
      <c r="Y24" s="17"/>
      <c r="Z24" s="17"/>
    </row>
    <row r="25">
      <c r="A25" s="19" t="s">
        <v>124</v>
      </c>
      <c r="B25" s="14">
        <v>12.0</v>
      </c>
      <c r="C25" s="3" t="s">
        <v>127</v>
      </c>
      <c r="D25" s="3"/>
      <c r="E25" s="19" t="s">
        <v>126</v>
      </c>
      <c r="F25" s="14">
        <v>14.0</v>
      </c>
      <c r="G25" s="3" t="s">
        <v>125</v>
      </c>
      <c r="H25" s="3"/>
      <c r="I25" s="19" t="s">
        <v>128</v>
      </c>
      <c r="J25" s="14">
        <v>2.0</v>
      </c>
      <c r="K25" s="19" t="s">
        <v>129</v>
      </c>
      <c r="L25" s="14">
        <v>12.0</v>
      </c>
      <c r="M25" s="3" t="s">
        <v>130</v>
      </c>
      <c r="N25" s="3"/>
      <c r="O25" s="3" t="s">
        <v>131</v>
      </c>
      <c r="P25" s="14"/>
      <c r="Q25" s="3"/>
      <c r="R25" s="20"/>
      <c r="S25" s="18"/>
      <c r="T25" s="18"/>
      <c r="U25" s="3"/>
      <c r="V25" s="3"/>
      <c r="W25" s="3"/>
      <c r="X25" s="3"/>
      <c r="Y25" s="3"/>
      <c r="Z25" s="3"/>
    </row>
    <row r="26">
      <c r="A26" s="3" t="s">
        <v>132</v>
      </c>
      <c r="B26" s="14"/>
      <c r="C26" s="19" t="s">
        <v>135</v>
      </c>
      <c r="D26" s="14">
        <v>-1.0</v>
      </c>
      <c r="E26" s="3" t="s">
        <v>134</v>
      </c>
      <c r="F26" s="14"/>
      <c r="G26" s="3" t="s">
        <v>133</v>
      </c>
      <c r="H26" s="14"/>
      <c r="I26" s="3" t="s">
        <v>136</v>
      </c>
      <c r="J26" s="14"/>
      <c r="K26" s="3" t="s">
        <v>137</v>
      </c>
      <c r="L26" s="14"/>
      <c r="M26" s="19" t="s">
        <v>138</v>
      </c>
      <c r="N26" s="14">
        <v>2.0</v>
      </c>
      <c r="O26" s="19" t="s">
        <v>139</v>
      </c>
      <c r="P26" s="14">
        <v>12.0</v>
      </c>
      <c r="Q26" s="3"/>
      <c r="R26" s="3"/>
      <c r="S26" s="18"/>
      <c r="T26" s="18"/>
      <c r="U26" s="3"/>
      <c r="V26" s="3"/>
      <c r="W26" s="3"/>
      <c r="X26" s="3"/>
      <c r="Y26" s="3"/>
      <c r="Z26" s="3"/>
    </row>
    <row r="27">
      <c r="A27" s="3" t="s">
        <v>140</v>
      </c>
      <c r="B27" s="14"/>
      <c r="C27" s="3" t="s">
        <v>143</v>
      </c>
      <c r="D27" s="14"/>
      <c r="E27" s="3" t="s">
        <v>142</v>
      </c>
      <c r="F27" s="14"/>
      <c r="G27" s="3" t="s">
        <v>141</v>
      </c>
      <c r="H27" s="14"/>
      <c r="I27" s="3" t="s">
        <v>144</v>
      </c>
      <c r="J27" s="14"/>
      <c r="K27" s="3" t="s">
        <v>145</v>
      </c>
      <c r="L27" s="14"/>
      <c r="M27" s="3" t="s">
        <v>146</v>
      </c>
      <c r="N27" s="14"/>
      <c r="O27" s="3" t="s">
        <v>147</v>
      </c>
      <c r="P27" s="14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C28" s="3"/>
      <c r="E28" s="3"/>
      <c r="G28" s="3"/>
      <c r="I28" s="3"/>
      <c r="K28" s="3"/>
      <c r="M28" s="3"/>
      <c r="O28" s="3"/>
      <c r="Q28" s="3"/>
      <c r="R28" s="14"/>
      <c r="S28" s="3"/>
      <c r="T28" s="3"/>
      <c r="U28" s="3"/>
      <c r="V28" s="3"/>
      <c r="W28" s="3"/>
      <c r="X28" s="3"/>
      <c r="Y28" s="3"/>
      <c r="Z28" s="3"/>
    </row>
    <row r="29">
      <c r="A29" s="17" t="s">
        <v>148</v>
      </c>
      <c r="C29" s="17" t="s">
        <v>148</v>
      </c>
      <c r="E29" s="17" t="s">
        <v>148</v>
      </c>
      <c r="G29" s="17" t="s">
        <v>148</v>
      </c>
      <c r="I29" s="17" t="s">
        <v>148</v>
      </c>
      <c r="K29" s="17" t="s">
        <v>148</v>
      </c>
      <c r="M29" s="17" t="s">
        <v>148</v>
      </c>
      <c r="O29" s="17" t="s">
        <v>148</v>
      </c>
      <c r="Q29" s="17"/>
      <c r="R29" s="17"/>
      <c r="S29" s="16"/>
      <c r="T29" s="17"/>
      <c r="U29" s="17"/>
      <c r="V29" s="17"/>
      <c r="W29" s="17"/>
      <c r="X29" s="17"/>
      <c r="Y29" s="17"/>
      <c r="Z29" s="17"/>
    </row>
    <row r="30">
      <c r="A30" s="3" t="s">
        <v>149</v>
      </c>
      <c r="B30" s="14"/>
      <c r="C30" s="3" t="s">
        <v>152</v>
      </c>
      <c r="D30" s="14"/>
      <c r="E30" s="19" t="s">
        <v>151</v>
      </c>
      <c r="F30" s="14">
        <v>6.0</v>
      </c>
      <c r="G30" s="3" t="s">
        <v>150</v>
      </c>
      <c r="H30" s="14"/>
      <c r="I30" s="19" t="s">
        <v>153</v>
      </c>
      <c r="J30" s="14">
        <v>4.0</v>
      </c>
      <c r="K30" s="19" t="s">
        <v>154</v>
      </c>
      <c r="L30" s="14">
        <v>11.0</v>
      </c>
      <c r="M30" s="19" t="s">
        <v>155</v>
      </c>
      <c r="N30" s="14">
        <v>3.0</v>
      </c>
      <c r="O30" s="19" t="s">
        <v>156</v>
      </c>
      <c r="P30" s="14">
        <v>5.0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157</v>
      </c>
      <c r="B31" s="14">
        <v>9.0</v>
      </c>
      <c r="C31" s="19" t="s">
        <v>160</v>
      </c>
      <c r="D31" s="14">
        <v>9.0</v>
      </c>
      <c r="E31" s="3" t="s">
        <v>159</v>
      </c>
      <c r="F31" s="14"/>
      <c r="G31" s="19" t="s">
        <v>158</v>
      </c>
      <c r="H31" s="14">
        <v>14.0</v>
      </c>
      <c r="I31" s="3" t="s">
        <v>161</v>
      </c>
      <c r="J31" s="14"/>
      <c r="K31" s="3" t="s">
        <v>162</v>
      </c>
      <c r="L31" s="14"/>
      <c r="M31" s="3" t="s">
        <v>163</v>
      </c>
      <c r="N31" s="14"/>
      <c r="O31" s="3" t="s">
        <v>164</v>
      </c>
      <c r="P31" s="14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165</v>
      </c>
      <c r="B33" s="17"/>
      <c r="C33" s="17" t="s">
        <v>165</v>
      </c>
      <c r="D33" s="17"/>
      <c r="E33" s="17" t="s">
        <v>165</v>
      </c>
      <c r="F33" s="17"/>
      <c r="G33" s="17" t="s">
        <v>165</v>
      </c>
      <c r="H33" s="17"/>
      <c r="I33" s="17" t="s">
        <v>165</v>
      </c>
      <c r="J33" s="17"/>
      <c r="K33" s="17" t="s">
        <v>165</v>
      </c>
      <c r="L33" s="17"/>
      <c r="M33" s="17" t="s">
        <v>165</v>
      </c>
      <c r="N33" s="17"/>
      <c r="O33" s="17" t="s">
        <v>165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9" t="s">
        <v>166</v>
      </c>
      <c r="B34" s="14">
        <v>2.0</v>
      </c>
      <c r="C34" s="19" t="s">
        <v>169</v>
      </c>
      <c r="D34" s="14">
        <v>11.0</v>
      </c>
      <c r="E34" s="3" t="s">
        <v>168</v>
      </c>
      <c r="F34" s="14"/>
      <c r="G34" s="3" t="s">
        <v>167</v>
      </c>
      <c r="H34" s="14"/>
      <c r="I34" s="3" t="s">
        <v>170</v>
      </c>
      <c r="J34" s="14"/>
      <c r="K34" s="19" t="s">
        <v>171</v>
      </c>
      <c r="L34" s="14">
        <v>9.0</v>
      </c>
      <c r="M34" s="19" t="s">
        <v>172</v>
      </c>
      <c r="N34" s="14">
        <v>1.0</v>
      </c>
      <c r="O34" s="3" t="s">
        <v>173</v>
      </c>
      <c r="P34" s="14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174</v>
      </c>
      <c r="B35" s="14"/>
      <c r="C35" s="3" t="s">
        <v>177</v>
      </c>
      <c r="D35" s="14"/>
      <c r="E35" s="19" t="s">
        <v>176</v>
      </c>
      <c r="F35" s="14">
        <v>-1.0</v>
      </c>
      <c r="G35" s="19" t="s">
        <v>175</v>
      </c>
      <c r="H35" s="14">
        <v>11.0</v>
      </c>
      <c r="I35" s="19" t="s">
        <v>178</v>
      </c>
      <c r="J35" s="14">
        <v>2.0</v>
      </c>
      <c r="K35" s="3" t="s">
        <v>179</v>
      </c>
      <c r="L35" s="14"/>
      <c r="M35" s="3" t="s">
        <v>180</v>
      </c>
      <c r="N35" s="14"/>
      <c r="O35" s="19" t="s">
        <v>181</v>
      </c>
      <c r="P35" s="14">
        <v>3.0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F36" s="3"/>
      <c r="G36" s="3"/>
      <c r="H36" s="3"/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182</v>
      </c>
      <c r="B37" s="17"/>
      <c r="C37" s="17" t="s">
        <v>182</v>
      </c>
      <c r="D37" s="17"/>
      <c r="E37" s="17" t="s">
        <v>182</v>
      </c>
      <c r="F37" s="17"/>
      <c r="G37" s="17" t="s">
        <v>182</v>
      </c>
      <c r="H37" s="17"/>
      <c r="I37" s="17" t="s">
        <v>182</v>
      </c>
      <c r="J37" s="17"/>
      <c r="K37" s="17" t="s">
        <v>182</v>
      </c>
      <c r="L37" s="17"/>
      <c r="M37" s="17" t="s">
        <v>182</v>
      </c>
      <c r="N37" s="17"/>
      <c r="O37" s="17" t="s">
        <v>182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3" t="s">
        <v>183</v>
      </c>
      <c r="B38" s="14"/>
      <c r="C38" s="3" t="s">
        <v>186</v>
      </c>
      <c r="D38" s="14"/>
      <c r="E38" s="19" t="s">
        <v>185</v>
      </c>
      <c r="F38" s="14">
        <v>1.0</v>
      </c>
      <c r="G38" s="3" t="s">
        <v>184</v>
      </c>
      <c r="H38" s="14"/>
      <c r="I38" s="19" t="s">
        <v>187</v>
      </c>
      <c r="J38" s="14">
        <v>4.0</v>
      </c>
      <c r="K38" s="3" t="s">
        <v>188</v>
      </c>
      <c r="L38" s="14"/>
      <c r="M38" s="3" t="s">
        <v>189</v>
      </c>
      <c r="N38" s="14"/>
      <c r="O38" s="19" t="s">
        <v>190</v>
      </c>
      <c r="P38" s="14">
        <v>2.0</v>
      </c>
      <c r="R38" s="3"/>
      <c r="S38" s="3"/>
      <c r="T38" s="3"/>
      <c r="U38" s="3"/>
      <c r="V38" s="3"/>
      <c r="W38" s="3"/>
      <c r="X38" s="3"/>
      <c r="Y38" s="3"/>
      <c r="Z38" s="3"/>
    </row>
    <row r="39">
      <c r="A39" s="19" t="s">
        <v>191</v>
      </c>
      <c r="B39" s="14">
        <v>2.0</v>
      </c>
      <c r="C39" s="19" t="s">
        <v>194</v>
      </c>
      <c r="D39" s="14">
        <v>4.0</v>
      </c>
      <c r="E39" s="3" t="s">
        <v>193</v>
      </c>
      <c r="F39" s="14"/>
      <c r="G39" s="19" t="s">
        <v>192</v>
      </c>
      <c r="H39" s="14">
        <v>4.0</v>
      </c>
      <c r="I39" s="3" t="s">
        <v>195</v>
      </c>
      <c r="J39" s="14"/>
      <c r="K39" s="19" t="s">
        <v>196</v>
      </c>
      <c r="L39" s="14">
        <v>2.0</v>
      </c>
      <c r="M39" s="19" t="s">
        <v>197</v>
      </c>
      <c r="N39" s="14">
        <v>-2.0</v>
      </c>
      <c r="O39" s="3" t="s">
        <v>198</v>
      </c>
      <c r="P39" s="14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>
        <f>SUM(B8:B39)</f>
        <v>113</v>
      </c>
      <c r="C41" s="3"/>
      <c r="D41" s="3">
        <f>SUM(D8:D39)</f>
        <v>73</v>
      </c>
      <c r="E41" s="3"/>
      <c r="F41" s="3">
        <f>SUM(F8:F39)</f>
        <v>110</v>
      </c>
      <c r="G41" s="3"/>
      <c r="H41" s="3">
        <f>SUM(H8:H39)</f>
        <v>111</v>
      </c>
      <c r="I41" s="3"/>
      <c r="J41" s="3">
        <f>SUM(J8:J39)</f>
        <v>83</v>
      </c>
      <c r="K41" s="3"/>
      <c r="L41" s="3">
        <f>SUM(L8:L39)</f>
        <v>119</v>
      </c>
      <c r="M41" s="3"/>
      <c r="N41" s="3">
        <f>SUM(N8:N39)</f>
        <v>63</v>
      </c>
      <c r="O41" s="3"/>
      <c r="P41" s="3">
        <f>SUM(P8:P39)</f>
        <v>85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D42" s="3"/>
      <c r="E42" s="3"/>
      <c r="F42" s="14"/>
      <c r="L42" s="14"/>
      <c r="M42" s="3"/>
      <c r="N42" s="20"/>
      <c r="O42" s="3"/>
      <c r="P42" s="14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/>
      <c r="B43" s="14"/>
      <c r="C43" s="3"/>
      <c r="D43" s="17"/>
      <c r="E43" s="17"/>
      <c r="F43" s="17"/>
      <c r="G43" s="3"/>
      <c r="H43" s="14"/>
      <c r="I43" s="3"/>
      <c r="J43" s="14"/>
      <c r="K43" s="3"/>
      <c r="L43" s="17"/>
      <c r="M43" s="17"/>
      <c r="O43" s="17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"/>
      <c r="B44" s="23"/>
      <c r="C44" s="17"/>
      <c r="D44" s="3"/>
      <c r="F44" s="3"/>
      <c r="G44" s="17"/>
      <c r="H44" s="17"/>
      <c r="I44" s="17"/>
      <c r="J44" s="17"/>
      <c r="K44" s="17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/>
      <c r="C45" s="3"/>
      <c r="D45" s="17"/>
      <c r="F45" s="17"/>
      <c r="G45" s="3"/>
      <c r="H45" s="3"/>
      <c r="I45" s="3"/>
      <c r="J45" s="3"/>
      <c r="K45" s="3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C46" s="17"/>
      <c r="D46" s="3"/>
      <c r="F46" s="3"/>
      <c r="G46" s="17"/>
      <c r="H46" s="17"/>
      <c r="I46" s="17"/>
      <c r="J46" s="17"/>
      <c r="K46" s="17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C47" s="3"/>
      <c r="D47" s="17"/>
      <c r="F47" s="17"/>
      <c r="G47" s="3"/>
      <c r="H47" s="3"/>
      <c r="I47" s="3"/>
      <c r="J47" s="3"/>
      <c r="K47" s="3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B48" s="3"/>
      <c r="D48" s="3"/>
      <c r="F48" s="3"/>
      <c r="G48" s="17"/>
      <c r="H48" s="17"/>
      <c r="J48" s="1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17"/>
      <c r="D49" s="17"/>
      <c r="F49" s="17"/>
      <c r="G49" s="3"/>
      <c r="H49" s="3"/>
      <c r="J49" s="3"/>
      <c r="L49" s="17"/>
      <c r="M49" s="17"/>
      <c r="N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"/>
      <c r="B50" s="3"/>
      <c r="D50" s="3"/>
      <c r="F50" s="3"/>
      <c r="G50" s="3"/>
      <c r="H50" s="3"/>
      <c r="J50" s="3"/>
      <c r="L50" s="3"/>
      <c r="M50" s="3"/>
      <c r="N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1">
    <mergeCell ref="R6:S6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3.75"/>
    <col customWidth="1" min="5" max="5" width="14.25"/>
    <col customWidth="1" min="7" max="7" width="16.13"/>
    <col customWidth="1" min="9" max="9" width="12.38"/>
    <col customWidth="1" min="11" max="11" width="13.13"/>
    <col customWidth="1" min="13" max="13" width="15.13"/>
    <col customWidth="1" min="15" max="15" width="13.38"/>
    <col customWidth="1" min="18" max="18" width="14.38"/>
    <col customWidth="1" min="22" max="22" width="28.13"/>
  </cols>
  <sheetData>
    <row r="1">
      <c r="A1" s="1" t="s">
        <v>209</v>
      </c>
      <c r="B1" s="2"/>
      <c r="C1" s="3"/>
      <c r="D1" s="26" t="s">
        <v>208</v>
      </c>
      <c r="E1" s="3"/>
      <c r="F1" s="6" t="s">
        <v>3</v>
      </c>
      <c r="G1" s="3"/>
      <c r="H1" s="7" t="s">
        <v>4</v>
      </c>
      <c r="I1" s="3"/>
      <c r="J1" s="8" t="s">
        <v>5</v>
      </c>
      <c r="K1" s="3"/>
      <c r="L1" s="9" t="s">
        <v>6</v>
      </c>
      <c r="M1" s="3"/>
      <c r="N1" s="3"/>
      <c r="O1" s="3"/>
      <c r="P1" s="3"/>
      <c r="Q1" s="3"/>
      <c r="R1" s="3"/>
      <c r="S1" s="3"/>
      <c r="T1" s="3"/>
      <c r="U1" s="3"/>
      <c r="V1" s="10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7</v>
      </c>
      <c r="B3" s="3"/>
      <c r="C3" s="11" t="s">
        <v>12</v>
      </c>
      <c r="D3" s="3"/>
      <c r="E3" s="11" t="s">
        <v>9</v>
      </c>
      <c r="F3" s="3"/>
      <c r="G3" s="13" t="s">
        <v>14</v>
      </c>
      <c r="H3" s="3"/>
      <c r="I3" s="11" t="s">
        <v>11</v>
      </c>
      <c r="J3" s="3"/>
      <c r="K3" s="11" t="s">
        <v>10</v>
      </c>
      <c r="L3" s="3"/>
      <c r="M3" s="11" t="s">
        <v>13</v>
      </c>
      <c r="N3" s="3"/>
      <c r="O3" s="12" t="s">
        <v>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15</v>
      </c>
      <c r="B4" s="14"/>
      <c r="C4" s="3" t="s">
        <v>20</v>
      </c>
      <c r="D4" s="3"/>
      <c r="E4" s="15" t="s">
        <v>17</v>
      </c>
      <c r="F4" s="3"/>
      <c r="G4" s="3" t="s">
        <v>22</v>
      </c>
      <c r="H4" s="3"/>
      <c r="I4" s="3" t="s">
        <v>19</v>
      </c>
      <c r="J4" s="3"/>
      <c r="K4" s="3" t="s">
        <v>18</v>
      </c>
      <c r="L4" s="3"/>
      <c r="M4" s="3" t="s">
        <v>21</v>
      </c>
      <c r="N4" s="3"/>
      <c r="O4" s="3" t="s">
        <v>16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23</v>
      </c>
      <c r="B5" s="3"/>
      <c r="C5" s="14" t="s">
        <v>28</v>
      </c>
      <c r="D5" s="3"/>
      <c r="E5" s="14" t="s">
        <v>25</v>
      </c>
      <c r="F5" s="3"/>
      <c r="G5" s="14" t="s">
        <v>30</v>
      </c>
      <c r="H5" s="3"/>
      <c r="I5" s="14" t="s">
        <v>27</v>
      </c>
      <c r="J5" s="3"/>
      <c r="K5" s="14" t="s">
        <v>26</v>
      </c>
      <c r="L5" s="3"/>
      <c r="M5" s="14" t="s">
        <v>29</v>
      </c>
      <c r="N5" s="3"/>
      <c r="O5" s="14" t="s">
        <v>24</v>
      </c>
      <c r="P5" s="3"/>
      <c r="Q5" s="3"/>
      <c r="R5" s="14"/>
      <c r="S5" s="3"/>
      <c r="T5" s="3"/>
      <c r="U5" s="3"/>
      <c r="V5" s="22" t="s">
        <v>210</v>
      </c>
      <c r="W5" s="3"/>
      <c r="X5" s="3"/>
      <c r="Y5" s="3"/>
      <c r="Z5" s="3"/>
    </row>
    <row r="6">
      <c r="A6" s="3"/>
      <c r="B6" s="16" t="s">
        <v>31</v>
      </c>
      <c r="C6" s="3"/>
      <c r="D6" s="16" t="s">
        <v>31</v>
      </c>
      <c r="E6" s="3"/>
      <c r="F6" s="16" t="s">
        <v>31</v>
      </c>
      <c r="G6" s="3"/>
      <c r="H6" s="16" t="s">
        <v>31</v>
      </c>
      <c r="I6" s="3"/>
      <c r="J6" s="16" t="s">
        <v>31</v>
      </c>
      <c r="K6" s="3"/>
      <c r="L6" s="16" t="s">
        <v>31</v>
      </c>
      <c r="M6" s="3"/>
      <c r="N6" s="16" t="s">
        <v>31</v>
      </c>
      <c r="O6" s="3"/>
      <c r="P6" s="16" t="s">
        <v>31</v>
      </c>
      <c r="Q6" s="3"/>
      <c r="R6" s="25" t="s">
        <v>211</v>
      </c>
      <c r="T6" s="3"/>
      <c r="U6" s="3"/>
      <c r="V6" s="3" t="str">
        <f>IF(T20&lt;5, "Kaminska", "Griff")</f>
        <v>Kaminska</v>
      </c>
      <c r="W6" s="3"/>
      <c r="X6" s="3"/>
      <c r="Y6" s="3"/>
      <c r="Z6" s="3"/>
    </row>
    <row r="7">
      <c r="A7" s="17" t="s">
        <v>32</v>
      </c>
      <c r="B7" s="17"/>
      <c r="C7" s="17" t="s">
        <v>32</v>
      </c>
      <c r="D7" s="17"/>
      <c r="E7" s="17" t="s">
        <v>32</v>
      </c>
      <c r="F7" s="17"/>
      <c r="G7" s="17" t="s">
        <v>32</v>
      </c>
      <c r="H7" s="17"/>
      <c r="I7" s="17" t="s">
        <v>32</v>
      </c>
      <c r="J7" s="17"/>
      <c r="K7" s="17" t="s">
        <v>32</v>
      </c>
      <c r="L7" s="17"/>
      <c r="M7" s="17" t="s">
        <v>32</v>
      </c>
      <c r="N7" s="17"/>
      <c r="O7" s="17" t="s">
        <v>32</v>
      </c>
      <c r="P7" s="17"/>
      <c r="Q7" s="17"/>
      <c r="R7" s="14"/>
      <c r="S7" s="17"/>
      <c r="T7" s="17"/>
      <c r="U7" s="17"/>
      <c r="V7" s="18" t="str">
        <f>if(T20&lt;5, "Griff", "Kaminska")</f>
        <v>Griff</v>
      </c>
      <c r="W7" s="17"/>
      <c r="X7" s="17"/>
      <c r="Y7" s="17"/>
      <c r="Z7" s="17"/>
    </row>
    <row r="8">
      <c r="A8" s="3" t="s">
        <v>33</v>
      </c>
      <c r="B8" s="3"/>
      <c r="C8" s="3" t="s">
        <v>38</v>
      </c>
      <c r="D8" s="14"/>
      <c r="E8" s="19" t="s">
        <v>35</v>
      </c>
      <c r="F8" s="14">
        <v>22.0</v>
      </c>
      <c r="G8" s="19" t="s">
        <v>40</v>
      </c>
      <c r="H8" s="14">
        <v>36.0</v>
      </c>
      <c r="I8" s="19" t="s">
        <v>37</v>
      </c>
      <c r="J8" s="14">
        <f>IFERROR(__xludf.DUMMYFUNCTION("query(S8)"),36.0)</f>
        <v>36</v>
      </c>
      <c r="K8" s="19" t="s">
        <v>36</v>
      </c>
      <c r="L8" s="14">
        <v>17.0</v>
      </c>
      <c r="M8" s="19" t="s">
        <v>39</v>
      </c>
      <c r="N8" s="14">
        <v>19.0</v>
      </c>
      <c r="O8" s="19" t="s">
        <v>34</v>
      </c>
      <c r="P8" s="14">
        <v>19.0</v>
      </c>
      <c r="Q8" s="3"/>
      <c r="R8" s="14" t="s">
        <v>37</v>
      </c>
      <c r="S8" s="14">
        <v>36.0</v>
      </c>
      <c r="T8" s="3"/>
      <c r="U8" s="3"/>
      <c r="V8" s="14" t="s">
        <v>212</v>
      </c>
      <c r="W8" s="3"/>
      <c r="X8" s="3"/>
      <c r="Y8" s="3"/>
      <c r="Z8" s="3"/>
    </row>
    <row r="9">
      <c r="A9" s="19" t="s">
        <v>41</v>
      </c>
      <c r="B9" s="14">
        <v>30.0</v>
      </c>
      <c r="C9" s="3" t="s">
        <v>46</v>
      </c>
      <c r="E9" s="3" t="s">
        <v>43</v>
      </c>
      <c r="F9" s="14"/>
      <c r="G9" s="3" t="s">
        <v>48</v>
      </c>
      <c r="I9" s="3" t="s">
        <v>45</v>
      </c>
      <c r="K9" s="3" t="s">
        <v>44</v>
      </c>
      <c r="M9" s="3" t="s">
        <v>47</v>
      </c>
      <c r="O9" s="3" t="s">
        <v>42</v>
      </c>
      <c r="Q9" s="3"/>
      <c r="R9" s="14" t="s">
        <v>213</v>
      </c>
      <c r="S9" s="14">
        <v>13.0</v>
      </c>
      <c r="T9" s="3"/>
      <c r="U9" s="3"/>
      <c r="V9" s="3" t="str">
        <f>if(T25&lt;5, "Redacted", "Bill")</f>
        <v>Redacted</v>
      </c>
      <c r="W9" s="3"/>
      <c r="X9" s="3"/>
      <c r="Y9" s="3"/>
      <c r="Z9" s="3"/>
    </row>
    <row r="10">
      <c r="A10" s="3" t="s">
        <v>49</v>
      </c>
      <c r="B10" s="3"/>
      <c r="C10" s="19" t="s">
        <v>54</v>
      </c>
      <c r="D10" s="14">
        <v>3.0</v>
      </c>
      <c r="E10" s="3" t="s">
        <v>51</v>
      </c>
      <c r="F10" s="3"/>
      <c r="G10" s="3" t="s">
        <v>56</v>
      </c>
      <c r="H10" s="3"/>
      <c r="I10" s="3" t="s">
        <v>53</v>
      </c>
      <c r="J10" s="3"/>
      <c r="K10" s="3" t="s">
        <v>52</v>
      </c>
      <c r="L10" s="3"/>
      <c r="M10" s="3" t="s">
        <v>55</v>
      </c>
      <c r="N10" s="3"/>
      <c r="O10" s="3" t="s">
        <v>50</v>
      </c>
      <c r="P10" s="3"/>
      <c r="Q10" s="3"/>
      <c r="R10" s="14" t="s">
        <v>80</v>
      </c>
      <c r="S10" s="14">
        <v>0.0</v>
      </c>
      <c r="T10" s="3"/>
      <c r="U10" s="3"/>
      <c r="V10" s="3"/>
      <c r="W10" s="3"/>
      <c r="X10" s="3"/>
      <c r="Y10" s="3"/>
      <c r="Z10" s="3"/>
    </row>
    <row r="11">
      <c r="C11" s="3"/>
      <c r="E11" s="3"/>
      <c r="G11" s="3"/>
      <c r="I11" s="3"/>
      <c r="K11" s="3"/>
      <c r="M11" s="3"/>
      <c r="O11" s="3"/>
      <c r="Q11" s="3"/>
      <c r="R11" s="14" t="s">
        <v>151</v>
      </c>
      <c r="S11" s="14">
        <v>7.0</v>
      </c>
      <c r="T11" s="3"/>
      <c r="U11" s="3"/>
      <c r="V11" s="3"/>
      <c r="W11" s="3"/>
      <c r="X11" s="3"/>
      <c r="Y11" s="3"/>
      <c r="Z11" s="3"/>
    </row>
    <row r="12">
      <c r="A12" s="17" t="s">
        <v>57</v>
      </c>
      <c r="B12" s="17"/>
      <c r="C12" s="17" t="s">
        <v>57</v>
      </c>
      <c r="D12" s="17"/>
      <c r="E12" s="17" t="s">
        <v>57</v>
      </c>
      <c r="F12" s="17"/>
      <c r="G12" s="17" t="s">
        <v>57</v>
      </c>
      <c r="H12" s="17"/>
      <c r="I12" s="17" t="s">
        <v>57</v>
      </c>
      <c r="J12" s="17"/>
      <c r="K12" s="17" t="s">
        <v>57</v>
      </c>
      <c r="L12" s="17"/>
      <c r="M12" s="17" t="s">
        <v>57</v>
      </c>
      <c r="N12" s="17"/>
      <c r="O12" s="17" t="s">
        <v>57</v>
      </c>
      <c r="P12" s="17"/>
      <c r="Q12" s="17"/>
      <c r="R12" s="20" t="s">
        <v>169</v>
      </c>
      <c r="S12" s="20">
        <v>-4.0</v>
      </c>
      <c r="T12" s="17"/>
      <c r="U12" s="17"/>
      <c r="V12" s="17"/>
      <c r="W12" s="17"/>
      <c r="X12" s="17"/>
      <c r="Y12" s="17"/>
      <c r="Z12" s="17"/>
    </row>
    <row r="13">
      <c r="A13" s="19" t="s">
        <v>58</v>
      </c>
      <c r="B13" s="14">
        <v>16.0</v>
      </c>
      <c r="C13" s="14" t="s">
        <v>63</v>
      </c>
      <c r="D13" s="14"/>
      <c r="E13" s="3" t="s">
        <v>60</v>
      </c>
      <c r="F13" s="14"/>
      <c r="G13" s="3" t="s">
        <v>65</v>
      </c>
      <c r="H13" s="14"/>
      <c r="I13" s="3" t="s">
        <v>62</v>
      </c>
      <c r="J13" s="14"/>
      <c r="K13" s="3" t="s">
        <v>61</v>
      </c>
      <c r="L13" s="14"/>
      <c r="M13" s="19" t="s">
        <v>64</v>
      </c>
      <c r="N13" s="14">
        <v>33.0</v>
      </c>
      <c r="O13" s="19" t="s">
        <v>59</v>
      </c>
      <c r="P13" s="14">
        <f>IFERROR(__xludf.DUMMYFUNCTION("query(S15)"),22.0)</f>
        <v>22</v>
      </c>
      <c r="Q13" s="3"/>
      <c r="R13" s="14" t="s">
        <v>187</v>
      </c>
      <c r="S13" s="14">
        <v>2.0</v>
      </c>
      <c r="T13" s="3"/>
      <c r="U13" s="3"/>
      <c r="V13" s="3"/>
      <c r="W13" s="3"/>
      <c r="X13" s="3"/>
      <c r="Y13" s="3"/>
      <c r="Z13" s="3"/>
    </row>
    <row r="14">
      <c r="A14" s="3" t="s">
        <v>66</v>
      </c>
      <c r="B14" s="3"/>
      <c r="C14" s="19" t="s">
        <v>71</v>
      </c>
      <c r="D14" s="14">
        <v>8.0</v>
      </c>
      <c r="E14" s="19" t="s">
        <v>68</v>
      </c>
      <c r="F14" s="14">
        <v>15.0</v>
      </c>
      <c r="G14" s="19" t="s">
        <v>73</v>
      </c>
      <c r="H14" s="14">
        <v>25.0</v>
      </c>
      <c r="I14" s="19" t="s">
        <v>70</v>
      </c>
      <c r="J14" s="14">
        <v>6.0</v>
      </c>
      <c r="K14" s="19" t="s">
        <v>69</v>
      </c>
      <c r="L14" s="14">
        <v>13.0</v>
      </c>
      <c r="M14" s="3" t="s">
        <v>72</v>
      </c>
      <c r="O14" s="19" t="s">
        <v>67</v>
      </c>
      <c r="P14" s="14">
        <v>7.0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74</v>
      </c>
      <c r="B15" s="14"/>
      <c r="C15" s="3" t="s">
        <v>79</v>
      </c>
      <c r="D15" s="14"/>
      <c r="E15" s="19" t="s">
        <v>76</v>
      </c>
      <c r="F15" s="14">
        <v>4.0</v>
      </c>
      <c r="G15" s="19" t="s">
        <v>81</v>
      </c>
      <c r="H15" s="14">
        <v>8.0</v>
      </c>
      <c r="I15" s="19" t="s">
        <v>78</v>
      </c>
      <c r="J15" s="14">
        <v>2.0</v>
      </c>
      <c r="K15" s="19" t="s">
        <v>77</v>
      </c>
      <c r="L15" s="14">
        <v>15.0</v>
      </c>
      <c r="M15" s="19" t="s">
        <v>80</v>
      </c>
      <c r="N15" s="14">
        <f>IFERROR(__xludf.DUMMYFUNCTION("QUERY(S10)"),0.0)</f>
        <v>0</v>
      </c>
      <c r="O15" s="3" t="s">
        <v>75</v>
      </c>
      <c r="P15" s="14"/>
      <c r="Q15" s="3"/>
      <c r="R15" s="14" t="s">
        <v>59</v>
      </c>
      <c r="S15" s="14">
        <v>22.0</v>
      </c>
      <c r="T15" s="3"/>
      <c r="U15" s="3"/>
      <c r="V15" s="3"/>
      <c r="W15" s="3"/>
      <c r="X15" s="3"/>
      <c r="Y15" s="3"/>
      <c r="Z15" s="3"/>
    </row>
    <row r="16">
      <c r="A16" s="19" t="s">
        <v>82</v>
      </c>
      <c r="B16" s="14">
        <f>IFERROR(__xludf.DUMMYFUNCTION("QUERY(S9)"),13.0)</f>
        <v>13</v>
      </c>
      <c r="C16" s="19" t="s">
        <v>87</v>
      </c>
      <c r="D16" s="14">
        <v>21.0</v>
      </c>
      <c r="E16" s="14" t="s">
        <v>84</v>
      </c>
      <c r="G16" s="3" t="s">
        <v>89</v>
      </c>
      <c r="H16" s="14"/>
      <c r="I16" s="3" t="s">
        <v>86</v>
      </c>
      <c r="J16" s="14"/>
      <c r="K16" s="3" t="s">
        <v>214</v>
      </c>
      <c r="L16" s="14"/>
      <c r="M16" s="3" t="s">
        <v>88</v>
      </c>
      <c r="N16" s="14"/>
      <c r="O16" s="14" t="s">
        <v>83</v>
      </c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P17" s="3"/>
      <c r="Q17" s="3"/>
      <c r="R17" s="27" t="s">
        <v>200</v>
      </c>
      <c r="S17" s="25" t="s">
        <v>201</v>
      </c>
      <c r="T17" s="25" t="s">
        <v>215</v>
      </c>
      <c r="U17" s="3"/>
      <c r="V17" s="3"/>
      <c r="W17" s="3"/>
      <c r="X17" s="3"/>
      <c r="Y17" s="3"/>
      <c r="Z17" s="3"/>
    </row>
    <row r="18">
      <c r="A18" s="17" t="s">
        <v>90</v>
      </c>
      <c r="B18" s="17"/>
      <c r="C18" s="17" t="s">
        <v>90</v>
      </c>
      <c r="D18" s="17"/>
      <c r="E18" s="17" t="s">
        <v>90</v>
      </c>
      <c r="F18" s="17"/>
      <c r="G18" s="17" t="s">
        <v>90</v>
      </c>
      <c r="H18" s="17"/>
      <c r="I18" s="17" t="s">
        <v>90</v>
      </c>
      <c r="J18" s="17"/>
      <c r="K18" s="17" t="s">
        <v>90</v>
      </c>
      <c r="L18" s="17"/>
      <c r="M18" s="17" t="s">
        <v>90</v>
      </c>
      <c r="N18" s="17"/>
      <c r="O18" s="17" t="s">
        <v>90</v>
      </c>
      <c r="P18" s="17"/>
      <c r="Q18" s="17"/>
      <c r="R18" s="20" t="s">
        <v>216</v>
      </c>
      <c r="S18" s="18">
        <f>IFERROR(__xludf.DUMMYFUNCTION("QUERY(B40)"),101.0)</f>
        <v>101</v>
      </c>
      <c r="T18" s="18">
        <f t="shared" ref="T18:T25" si="1">RANK(S18, S$18:S$25, 0)</f>
        <v>2</v>
      </c>
      <c r="U18" s="17"/>
      <c r="V18" s="17"/>
      <c r="W18" s="17"/>
      <c r="X18" s="17"/>
      <c r="Y18" s="17"/>
      <c r="Z18" s="17"/>
    </row>
    <row r="19">
      <c r="A19" s="3" t="s">
        <v>91</v>
      </c>
      <c r="B19" s="3"/>
      <c r="C19" s="19" t="s">
        <v>96</v>
      </c>
      <c r="D19" s="14">
        <v>2.0</v>
      </c>
      <c r="E19" s="19" t="s">
        <v>93</v>
      </c>
      <c r="F19" s="14">
        <v>12.0</v>
      </c>
      <c r="G19" s="14" t="s">
        <v>98</v>
      </c>
      <c r="H19" s="14"/>
      <c r="I19" s="3" t="s">
        <v>95</v>
      </c>
      <c r="J19" s="14"/>
      <c r="K19" s="19" t="s">
        <v>94</v>
      </c>
      <c r="L19" s="14">
        <v>17.0</v>
      </c>
      <c r="M19" s="19" t="s">
        <v>97</v>
      </c>
      <c r="N19" s="14">
        <v>5.0</v>
      </c>
      <c r="O19" s="19" t="s">
        <v>92</v>
      </c>
      <c r="P19" s="14">
        <v>8.0</v>
      </c>
      <c r="Q19" s="3"/>
      <c r="R19" s="20" t="s">
        <v>206</v>
      </c>
      <c r="S19" s="18">
        <f>IFERROR(__xludf.DUMMYFUNCTION("QUERY(D40)"),45.0)</f>
        <v>45</v>
      </c>
      <c r="T19" s="18">
        <f t="shared" si="1"/>
        <v>8</v>
      </c>
      <c r="U19" s="3"/>
      <c r="V19" s="3"/>
      <c r="W19" s="3"/>
      <c r="X19" s="3"/>
      <c r="Y19" s="3"/>
      <c r="Z19" s="3"/>
    </row>
    <row r="20">
      <c r="A20" s="22" t="s">
        <v>99</v>
      </c>
      <c r="B20" s="14">
        <v>13.0</v>
      </c>
      <c r="C20" s="22" t="s">
        <v>104</v>
      </c>
      <c r="D20" s="14">
        <v>5.0</v>
      </c>
      <c r="E20" s="3" t="s">
        <v>101</v>
      </c>
      <c r="G20" s="19" t="s">
        <v>106</v>
      </c>
      <c r="H20" s="14">
        <v>18.0</v>
      </c>
      <c r="I20" s="19" t="s">
        <v>103</v>
      </c>
      <c r="J20" s="14">
        <v>2.0</v>
      </c>
      <c r="K20" s="19" t="s">
        <v>102</v>
      </c>
      <c r="L20" s="14">
        <v>3.0</v>
      </c>
      <c r="M20" s="19" t="s">
        <v>105</v>
      </c>
      <c r="N20" s="14">
        <v>11.0</v>
      </c>
      <c r="O20" s="23" t="s">
        <v>100</v>
      </c>
      <c r="P20" s="14"/>
      <c r="Q20" s="3"/>
      <c r="R20" s="20" t="s">
        <v>217</v>
      </c>
      <c r="S20" s="18">
        <f>IFERROR(__xludf.DUMMYFUNCTION("QUERY(F40)"),86.0)</f>
        <v>86</v>
      </c>
      <c r="T20" s="18">
        <f t="shared" si="1"/>
        <v>4</v>
      </c>
      <c r="U20" s="3"/>
      <c r="V20" s="3"/>
      <c r="W20" s="3"/>
      <c r="X20" s="3"/>
      <c r="Y20" s="3"/>
      <c r="Z20" s="3"/>
    </row>
    <row r="21">
      <c r="A21" s="19" t="s">
        <v>107</v>
      </c>
      <c r="B21" s="14">
        <v>17.0</v>
      </c>
      <c r="C21" s="3" t="s">
        <v>112</v>
      </c>
      <c r="D21" s="14"/>
      <c r="E21" s="23" t="s">
        <v>109</v>
      </c>
      <c r="F21" s="14"/>
      <c r="G21" s="3" t="s">
        <v>114</v>
      </c>
      <c r="H21" s="14"/>
      <c r="I21" s="19" t="s">
        <v>111</v>
      </c>
      <c r="J21" s="14">
        <v>2.0</v>
      </c>
      <c r="K21" s="3" t="s">
        <v>110</v>
      </c>
      <c r="L21" s="14"/>
      <c r="M21" s="3" t="s">
        <v>113</v>
      </c>
      <c r="N21" s="14"/>
      <c r="O21" s="19" t="s">
        <v>108</v>
      </c>
      <c r="P21" s="14">
        <v>19.0</v>
      </c>
      <c r="Q21" s="3"/>
      <c r="R21" s="20" t="s">
        <v>204</v>
      </c>
      <c r="S21" s="18">
        <f>IFERROR(__xludf.DUMMYFUNCTION("query(H40)"),133.0)</f>
        <v>133</v>
      </c>
      <c r="T21" s="18">
        <f t="shared" si="1"/>
        <v>1</v>
      </c>
      <c r="U21" s="3"/>
      <c r="V21" s="3"/>
      <c r="W21" s="3"/>
      <c r="X21" s="3"/>
      <c r="Y21" s="3"/>
      <c r="Z21" s="3"/>
    </row>
    <row r="22">
      <c r="A22" s="3" t="s">
        <v>115</v>
      </c>
      <c r="C22" s="14" t="s">
        <v>120</v>
      </c>
      <c r="E22" s="19" t="s">
        <v>117</v>
      </c>
      <c r="F22" s="14">
        <v>3.0</v>
      </c>
      <c r="G22" s="19" t="s">
        <v>122</v>
      </c>
      <c r="H22" s="14">
        <v>18.0</v>
      </c>
      <c r="I22" s="3" t="s">
        <v>119</v>
      </c>
      <c r="K22" s="3" t="s">
        <v>218</v>
      </c>
      <c r="L22" s="14"/>
      <c r="M22" s="3" t="s">
        <v>121</v>
      </c>
      <c r="O22" s="3" t="s">
        <v>116</v>
      </c>
      <c r="Q22" s="3"/>
      <c r="R22" s="20" t="s">
        <v>203</v>
      </c>
      <c r="S22" s="18">
        <f>IFERROR(__xludf.DUMMYFUNCTION("QUERY(J40)"),78.0)</f>
        <v>78</v>
      </c>
      <c r="T22" s="18">
        <f t="shared" si="1"/>
        <v>6</v>
      </c>
      <c r="U22" s="3"/>
      <c r="V22" s="3"/>
      <c r="W22" s="3"/>
      <c r="X22" s="3"/>
      <c r="Y22" s="3"/>
      <c r="Z22" s="3"/>
    </row>
    <row r="23">
      <c r="C23" s="3"/>
      <c r="E23" s="3"/>
      <c r="G23" s="3"/>
      <c r="I23" s="3"/>
      <c r="K23" s="3"/>
      <c r="L23" s="14"/>
      <c r="M23" s="3"/>
      <c r="O23" s="3"/>
      <c r="Q23" s="3"/>
      <c r="R23" s="20" t="s">
        <v>212</v>
      </c>
      <c r="S23" s="18">
        <f>IFERROR(__xludf.DUMMYFUNCTION("query(L40)"),82.0)</f>
        <v>82</v>
      </c>
      <c r="T23" s="18">
        <f t="shared" si="1"/>
        <v>5</v>
      </c>
      <c r="U23" s="3"/>
      <c r="V23" s="3"/>
      <c r="W23" s="3"/>
      <c r="X23" s="3"/>
      <c r="Y23" s="3"/>
      <c r="Z23" s="3"/>
    </row>
    <row r="24">
      <c r="A24" s="17" t="s">
        <v>123</v>
      </c>
      <c r="B24" s="17"/>
      <c r="C24" s="17" t="s">
        <v>123</v>
      </c>
      <c r="D24" s="17"/>
      <c r="E24" s="17" t="s">
        <v>123</v>
      </c>
      <c r="F24" s="17"/>
      <c r="G24" s="17" t="s">
        <v>123</v>
      </c>
      <c r="H24" s="17"/>
      <c r="I24" s="17" t="s">
        <v>123</v>
      </c>
      <c r="J24" s="17"/>
      <c r="K24" s="17" t="s">
        <v>123</v>
      </c>
      <c r="L24" s="14"/>
      <c r="M24" s="17" t="s">
        <v>123</v>
      </c>
      <c r="N24" s="17"/>
      <c r="O24" s="17" t="s">
        <v>123</v>
      </c>
      <c r="P24" s="17"/>
      <c r="Q24" s="17"/>
      <c r="R24" s="20" t="s">
        <v>219</v>
      </c>
      <c r="S24" s="18">
        <f>IFERROR(__xludf.DUMMYFUNCTION("QUERY(N40)"),78.0)</f>
        <v>78</v>
      </c>
      <c r="T24" s="18">
        <f t="shared" si="1"/>
        <v>6</v>
      </c>
      <c r="U24" s="17"/>
      <c r="V24" s="17"/>
      <c r="W24" s="17"/>
      <c r="X24" s="17"/>
      <c r="Y24" s="17"/>
      <c r="Z24" s="17"/>
    </row>
    <row r="25">
      <c r="A25" s="3" t="s">
        <v>124</v>
      </c>
      <c r="B25" s="3"/>
      <c r="C25" s="19" t="s">
        <v>129</v>
      </c>
      <c r="D25" s="14">
        <v>4.0</v>
      </c>
      <c r="E25" s="19" t="s">
        <v>126</v>
      </c>
      <c r="F25" s="14">
        <v>19.0</v>
      </c>
      <c r="G25" s="19" t="s">
        <v>131</v>
      </c>
      <c r="H25" s="14">
        <v>7.0</v>
      </c>
      <c r="I25" s="3" t="s">
        <v>128</v>
      </c>
      <c r="J25" s="14"/>
      <c r="K25" s="3" t="s">
        <v>127</v>
      </c>
      <c r="L25" s="14"/>
      <c r="M25" s="3" t="s">
        <v>130</v>
      </c>
      <c r="N25" s="14"/>
      <c r="O25" s="3" t="s">
        <v>125</v>
      </c>
      <c r="P25" s="14"/>
      <c r="Q25" s="3"/>
      <c r="R25" s="20" t="s">
        <v>220</v>
      </c>
      <c r="S25" s="18">
        <f>IFERROR(__xludf.DUMMYFUNCTION("QUERY(P40)"),99.0)</f>
        <v>99</v>
      </c>
      <c r="T25" s="18">
        <f t="shared" si="1"/>
        <v>3</v>
      </c>
      <c r="U25" s="3"/>
      <c r="V25" s="3"/>
      <c r="W25" s="3"/>
      <c r="X25" s="3"/>
      <c r="Y25" s="3"/>
      <c r="Z25" s="3"/>
    </row>
    <row r="26">
      <c r="A26" s="19" t="s">
        <v>132</v>
      </c>
      <c r="B26" s="14">
        <v>1.0</v>
      </c>
      <c r="C26" s="3" t="s">
        <v>137</v>
      </c>
      <c r="D26" s="14"/>
      <c r="E26" s="3" t="s">
        <v>134</v>
      </c>
      <c r="F26" s="14"/>
      <c r="G26" s="3" t="s">
        <v>139</v>
      </c>
      <c r="H26" s="14"/>
      <c r="I26" s="19" t="s">
        <v>136</v>
      </c>
      <c r="J26" s="14">
        <v>3.0</v>
      </c>
      <c r="K26" s="19" t="s">
        <v>135</v>
      </c>
      <c r="L26" s="14">
        <v>10.0</v>
      </c>
      <c r="M26" s="19" t="s">
        <v>138</v>
      </c>
      <c r="N26" s="14">
        <v>6.0</v>
      </c>
      <c r="O26" s="19" t="s">
        <v>133</v>
      </c>
      <c r="P26" s="14">
        <v>5.0</v>
      </c>
      <c r="Q26" s="3"/>
      <c r="R26" s="3"/>
      <c r="S26" s="18"/>
      <c r="T26" s="18"/>
      <c r="U26" s="3"/>
      <c r="V26" s="3"/>
      <c r="W26" s="3"/>
      <c r="X26" s="3"/>
      <c r="Y26" s="3"/>
      <c r="Z26" s="3"/>
    </row>
    <row r="27">
      <c r="A27" s="3" t="s">
        <v>140</v>
      </c>
      <c r="B27" s="14"/>
      <c r="C27" s="3" t="s">
        <v>145</v>
      </c>
      <c r="D27" s="14"/>
      <c r="E27" s="3" t="s">
        <v>142</v>
      </c>
      <c r="F27" s="14"/>
      <c r="G27" s="3" t="s">
        <v>147</v>
      </c>
      <c r="H27" s="14"/>
      <c r="I27" s="3" t="s">
        <v>144</v>
      </c>
      <c r="J27" s="14"/>
      <c r="K27" s="3" t="s">
        <v>143</v>
      </c>
      <c r="L27" s="14"/>
      <c r="M27" s="3" t="s">
        <v>146</v>
      </c>
      <c r="N27" s="14"/>
      <c r="O27" s="3" t="s">
        <v>141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C28" s="3"/>
      <c r="E28" s="3"/>
      <c r="G28" s="3"/>
      <c r="I28" s="3"/>
      <c r="K28" s="3"/>
      <c r="M28" s="3"/>
      <c r="O28" s="3"/>
      <c r="Q28" s="3"/>
      <c r="R28" s="22"/>
      <c r="S28" s="3"/>
      <c r="T28" s="3"/>
      <c r="U28" s="3"/>
      <c r="V28" s="3"/>
      <c r="W28" s="3"/>
      <c r="X28" s="3"/>
      <c r="Y28" s="3"/>
      <c r="Z28" s="3"/>
    </row>
    <row r="29">
      <c r="A29" s="17" t="s">
        <v>148</v>
      </c>
      <c r="C29" s="17" t="s">
        <v>148</v>
      </c>
      <c r="E29" s="17" t="s">
        <v>148</v>
      </c>
      <c r="G29" s="17" t="s">
        <v>148</v>
      </c>
      <c r="I29" s="17" t="s">
        <v>148</v>
      </c>
      <c r="K29" s="17" t="s">
        <v>148</v>
      </c>
      <c r="M29" s="17" t="s">
        <v>148</v>
      </c>
      <c r="O29" s="17" t="s">
        <v>148</v>
      </c>
      <c r="Q29" s="17"/>
      <c r="R29" s="17"/>
      <c r="S29" s="16"/>
      <c r="T29" s="17"/>
      <c r="U29" s="17"/>
      <c r="V29" s="17"/>
      <c r="W29" s="17"/>
      <c r="X29" s="17"/>
      <c r="Y29" s="17"/>
      <c r="Z29" s="17"/>
    </row>
    <row r="30">
      <c r="A30" s="3" t="s">
        <v>149</v>
      </c>
      <c r="B30" s="14"/>
      <c r="C30" s="3" t="s">
        <v>154</v>
      </c>
      <c r="D30" s="14"/>
      <c r="E30" s="19" t="s">
        <v>151</v>
      </c>
      <c r="F30" s="14">
        <f>IFERROR(__xludf.DUMMYFUNCTION("query(S11)"),7.0)</f>
        <v>7</v>
      </c>
      <c r="G30" s="19" t="s">
        <v>156</v>
      </c>
      <c r="H30" s="14">
        <v>5.0</v>
      </c>
      <c r="I30" s="19" t="s">
        <v>153</v>
      </c>
      <c r="J30" s="14">
        <v>7.0</v>
      </c>
      <c r="K30" s="3" t="s">
        <v>152</v>
      </c>
      <c r="L30" s="14"/>
      <c r="M30" s="19" t="s">
        <v>155</v>
      </c>
      <c r="N30" s="14">
        <v>-1.0</v>
      </c>
      <c r="O30" s="19" t="s">
        <v>150</v>
      </c>
      <c r="P30" s="14">
        <v>0.0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157</v>
      </c>
      <c r="B31" s="14">
        <v>9.0</v>
      </c>
      <c r="C31" s="19" t="s">
        <v>162</v>
      </c>
      <c r="D31" s="14">
        <v>0.0</v>
      </c>
      <c r="E31" s="3" t="s">
        <v>159</v>
      </c>
      <c r="F31" s="14"/>
      <c r="G31" s="3" t="s">
        <v>164</v>
      </c>
      <c r="H31" s="14"/>
      <c r="I31" s="3" t="s">
        <v>161</v>
      </c>
      <c r="J31" s="14"/>
      <c r="K31" s="19" t="s">
        <v>160</v>
      </c>
      <c r="L31" s="14">
        <v>5.0</v>
      </c>
      <c r="M31" s="3" t="s">
        <v>163</v>
      </c>
      <c r="N31" s="14"/>
      <c r="O31" s="3" t="s">
        <v>158</v>
      </c>
      <c r="P31" s="14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165</v>
      </c>
      <c r="B33" s="17"/>
      <c r="C33" s="17" t="s">
        <v>165</v>
      </c>
      <c r="D33" s="17"/>
      <c r="E33" s="17" t="s">
        <v>165</v>
      </c>
      <c r="F33" s="17"/>
      <c r="G33" s="17" t="s">
        <v>165</v>
      </c>
      <c r="H33" s="17"/>
      <c r="I33" s="17" t="s">
        <v>165</v>
      </c>
      <c r="J33" s="17"/>
      <c r="K33" s="17" t="s">
        <v>165</v>
      </c>
      <c r="L33" s="17"/>
      <c r="M33" s="17" t="s">
        <v>165</v>
      </c>
      <c r="N33" s="17"/>
      <c r="O33" s="17" t="s">
        <v>165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3" t="s">
        <v>166</v>
      </c>
      <c r="B34" s="14"/>
      <c r="C34" s="3" t="s">
        <v>171</v>
      </c>
      <c r="D34" s="14"/>
      <c r="E34" s="3" t="s">
        <v>168</v>
      </c>
      <c r="F34" s="14"/>
      <c r="G34" s="3" t="s">
        <v>173</v>
      </c>
      <c r="H34" s="14"/>
      <c r="I34" s="3" t="s">
        <v>170</v>
      </c>
      <c r="J34" s="14"/>
      <c r="K34" s="19" t="s">
        <v>169</v>
      </c>
      <c r="L34" s="14">
        <f>IFERROR(__xludf.DUMMYFUNCTION("query(S12)"),-4.0)</f>
        <v>-4</v>
      </c>
      <c r="M34" s="19" t="s">
        <v>172</v>
      </c>
      <c r="N34" s="14">
        <v>8.0</v>
      </c>
      <c r="O34" s="3" t="s">
        <v>167</v>
      </c>
      <c r="P34" s="14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 t="s">
        <v>174</v>
      </c>
      <c r="B35" s="14">
        <v>0.0</v>
      </c>
      <c r="C35" s="19" t="s">
        <v>179</v>
      </c>
      <c r="D35" s="14">
        <v>3.0</v>
      </c>
      <c r="E35" s="19" t="s">
        <v>176</v>
      </c>
      <c r="F35" s="14">
        <v>0.0</v>
      </c>
      <c r="G35" s="19" t="s">
        <v>181</v>
      </c>
      <c r="H35" s="14">
        <v>10.0</v>
      </c>
      <c r="I35" s="19" t="s">
        <v>178</v>
      </c>
      <c r="J35" s="14">
        <v>18.0</v>
      </c>
      <c r="K35" s="3" t="s">
        <v>177</v>
      </c>
      <c r="L35" s="14"/>
      <c r="M35" s="3" t="s">
        <v>180</v>
      </c>
      <c r="N35" s="14"/>
      <c r="O35" s="19" t="s">
        <v>175</v>
      </c>
      <c r="P35" s="14">
        <v>20.0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F36" s="3"/>
      <c r="G36" s="3"/>
      <c r="H36" s="3"/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182</v>
      </c>
      <c r="B37" s="17"/>
      <c r="C37" s="17" t="s">
        <v>182</v>
      </c>
      <c r="D37" s="17"/>
      <c r="E37" s="17" t="s">
        <v>182</v>
      </c>
      <c r="F37" s="17"/>
      <c r="G37" s="17" t="s">
        <v>182</v>
      </c>
      <c r="H37" s="17"/>
      <c r="I37" s="17" t="s">
        <v>182</v>
      </c>
      <c r="J37" s="17"/>
      <c r="K37" s="17" t="s">
        <v>182</v>
      </c>
      <c r="L37" s="17"/>
      <c r="M37" s="17" t="s">
        <v>182</v>
      </c>
      <c r="N37" s="17"/>
      <c r="O37" s="17" t="s">
        <v>182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9" t="s">
        <v>183</v>
      </c>
      <c r="B38" s="14">
        <v>2.0</v>
      </c>
      <c r="C38" s="19" t="s">
        <v>188</v>
      </c>
      <c r="D38" s="14">
        <v>-1.0</v>
      </c>
      <c r="E38" s="19" t="s">
        <v>185</v>
      </c>
      <c r="F38" s="14">
        <v>4.0</v>
      </c>
      <c r="G38" s="19" t="s">
        <v>190</v>
      </c>
      <c r="H38" s="14">
        <v>6.0</v>
      </c>
      <c r="I38" s="19" t="s">
        <v>187</v>
      </c>
      <c r="J38" s="14">
        <f>IFERROR(__xludf.DUMMYFUNCTION("query(S13)"),2.0)</f>
        <v>2</v>
      </c>
      <c r="K38" s="3" t="s">
        <v>186</v>
      </c>
      <c r="L38" s="14"/>
      <c r="M38" s="3" t="s">
        <v>189</v>
      </c>
      <c r="N38" s="14"/>
      <c r="O38" s="19" t="s">
        <v>184</v>
      </c>
      <c r="P38" s="14">
        <v>-1.0</v>
      </c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191</v>
      </c>
      <c r="B39" s="14"/>
      <c r="C39" s="3" t="s">
        <v>196</v>
      </c>
      <c r="D39" s="14"/>
      <c r="E39" s="3" t="s">
        <v>193</v>
      </c>
      <c r="F39" s="14"/>
      <c r="G39" s="3" t="s">
        <v>198</v>
      </c>
      <c r="H39" s="14"/>
      <c r="I39" s="3" t="s">
        <v>195</v>
      </c>
      <c r="J39" s="14"/>
      <c r="K39" s="19" t="s">
        <v>194</v>
      </c>
      <c r="L39" s="14">
        <v>6.0</v>
      </c>
      <c r="M39" s="19" t="s">
        <v>197</v>
      </c>
      <c r="N39" s="14">
        <v>-3.0</v>
      </c>
      <c r="O39" s="3" t="s">
        <v>192</v>
      </c>
      <c r="P39" s="14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>
        <f>SUM(B8:B39)</f>
        <v>101</v>
      </c>
      <c r="C40" s="3"/>
      <c r="D40" s="3">
        <f>SUM(D8:D39)</f>
        <v>45</v>
      </c>
      <c r="E40" s="3"/>
      <c r="F40" s="3">
        <f>SUM(F8:F39)</f>
        <v>86</v>
      </c>
      <c r="G40" s="3"/>
      <c r="H40" s="19">
        <f>SUM(H8:H39)</f>
        <v>133</v>
      </c>
      <c r="I40" s="3"/>
      <c r="J40" s="3">
        <f>SUM(J8:J39)</f>
        <v>78</v>
      </c>
      <c r="K40" s="3"/>
      <c r="L40" s="3">
        <f>SUM(L8:L39)</f>
        <v>82</v>
      </c>
      <c r="M40" s="3"/>
      <c r="N40" s="3">
        <f>SUM(N8:N39)</f>
        <v>78</v>
      </c>
      <c r="O40" s="3"/>
      <c r="P40" s="3">
        <f>SUM(P8:P39)</f>
        <v>99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221</v>
      </c>
      <c r="B42" s="14"/>
      <c r="C42" s="3" t="s">
        <v>221</v>
      </c>
      <c r="D42" s="3"/>
      <c r="E42" s="3" t="s">
        <v>221</v>
      </c>
      <c r="F42" s="14"/>
      <c r="G42" s="3" t="s">
        <v>221</v>
      </c>
      <c r="H42" s="14"/>
      <c r="I42" s="3" t="s">
        <v>221</v>
      </c>
      <c r="J42" s="3"/>
      <c r="K42" s="3" t="s">
        <v>221</v>
      </c>
      <c r="L42" s="14"/>
      <c r="M42" s="3" t="s">
        <v>221</v>
      </c>
      <c r="N42" s="20"/>
      <c r="O42" s="3" t="s">
        <v>221</v>
      </c>
      <c r="P42" s="14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 t="s">
        <v>148</v>
      </c>
      <c r="B43" s="23"/>
      <c r="C43" s="17" t="s">
        <v>32</v>
      </c>
      <c r="D43" s="17"/>
      <c r="E43" s="17"/>
      <c r="F43" s="17"/>
      <c r="G43" s="17" t="s">
        <v>32</v>
      </c>
      <c r="H43" s="17"/>
      <c r="I43" s="17" t="s">
        <v>90</v>
      </c>
      <c r="J43" s="17"/>
      <c r="K43" s="17" t="s">
        <v>57</v>
      </c>
      <c r="L43" s="17"/>
      <c r="M43" s="17" t="s">
        <v>90</v>
      </c>
      <c r="O43" s="17" t="s">
        <v>32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" t="s">
        <v>222</v>
      </c>
      <c r="C44" s="3" t="s">
        <v>223</v>
      </c>
      <c r="D44" s="3"/>
      <c r="F44" s="3"/>
      <c r="G44" s="3" t="s">
        <v>224</v>
      </c>
      <c r="H44" s="3"/>
      <c r="I44" s="3" t="s">
        <v>225</v>
      </c>
      <c r="J44" s="3"/>
      <c r="K44" s="3" t="s">
        <v>85</v>
      </c>
      <c r="L44" s="3"/>
      <c r="M44" s="3" t="s">
        <v>226</v>
      </c>
      <c r="N44" s="3"/>
      <c r="O44" s="3" t="s">
        <v>227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/>
      <c r="C45" s="17" t="s">
        <v>57</v>
      </c>
      <c r="D45" s="17"/>
      <c r="F45" s="17"/>
      <c r="G45" s="17" t="s">
        <v>90</v>
      </c>
      <c r="H45" s="17"/>
      <c r="I45" s="17" t="s">
        <v>123</v>
      </c>
      <c r="J45" s="17"/>
      <c r="K45" s="17" t="s">
        <v>90</v>
      </c>
      <c r="L45" s="17"/>
      <c r="M45" s="17"/>
      <c r="N45" s="17"/>
      <c r="O45" s="17" t="s">
        <v>57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C46" s="3" t="s">
        <v>228</v>
      </c>
      <c r="D46" s="3"/>
      <c r="F46" s="3"/>
      <c r="G46" s="3" t="s">
        <v>229</v>
      </c>
      <c r="H46" s="3"/>
      <c r="I46" s="3" t="s">
        <v>230</v>
      </c>
      <c r="J46" s="3"/>
      <c r="K46" s="3" t="s">
        <v>118</v>
      </c>
      <c r="L46" s="3"/>
      <c r="M46" s="3"/>
      <c r="N46" s="3"/>
      <c r="O46" s="3" t="s">
        <v>231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17"/>
      <c r="C47" s="17" t="s">
        <v>90</v>
      </c>
      <c r="D47" s="17"/>
      <c r="F47" s="17"/>
      <c r="G47" s="17" t="s">
        <v>123</v>
      </c>
      <c r="H47" s="17"/>
      <c r="I47" s="17" t="s">
        <v>182</v>
      </c>
      <c r="J47" s="17"/>
      <c r="K47" s="17" t="s">
        <v>123</v>
      </c>
      <c r="L47" s="17"/>
      <c r="M47" s="17"/>
      <c r="N47" s="17"/>
      <c r="O47" s="17" t="s">
        <v>90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B48" s="3"/>
      <c r="C48" s="3" t="s">
        <v>232</v>
      </c>
      <c r="D48" s="3"/>
      <c r="F48" s="3"/>
      <c r="G48" s="3" t="s">
        <v>233</v>
      </c>
      <c r="H48" s="3"/>
      <c r="I48" s="3" t="s">
        <v>234</v>
      </c>
      <c r="J48" s="3"/>
      <c r="K48" s="3" t="s">
        <v>235</v>
      </c>
      <c r="L48" s="3"/>
      <c r="M48" s="3"/>
      <c r="N48" s="3"/>
      <c r="O48" s="3" t="s">
        <v>236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17"/>
      <c r="C49" s="17" t="s">
        <v>123</v>
      </c>
      <c r="D49" s="17"/>
      <c r="F49" s="17"/>
      <c r="H49" s="17"/>
      <c r="J49" s="17"/>
      <c r="K49" s="17" t="s">
        <v>165</v>
      </c>
      <c r="L49" s="17"/>
      <c r="M49" s="17"/>
      <c r="N49" s="17"/>
      <c r="O49" s="17" t="s">
        <v>123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"/>
      <c r="B50" s="3"/>
      <c r="C50" s="3" t="s">
        <v>237</v>
      </c>
      <c r="D50" s="3"/>
      <c r="F50" s="3"/>
      <c r="H50" s="3"/>
      <c r="J50" s="3"/>
      <c r="K50" s="3" t="s">
        <v>238</v>
      </c>
      <c r="L50" s="3"/>
      <c r="M50" s="3"/>
      <c r="N50" s="3"/>
      <c r="O50" s="3" t="s">
        <v>239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mergeCells count="1">
    <mergeCell ref="R6:S6"/>
  </mergeCells>
  <conditionalFormatting sqref="T18:T25">
    <cfRule type="cellIs" dxfId="0" priority="1" operator="lessThanOrEqual">
      <formula>4</formula>
    </cfRule>
  </conditionalFormatting>
  <conditionalFormatting sqref="T18:T25">
    <cfRule type="cellIs" dxfId="1" priority="2" operator="greaterThanOrEqual">
      <formula>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3.38"/>
    <col customWidth="1" min="5" max="5" width="14.25"/>
    <col customWidth="1" min="7" max="7" width="13.13"/>
    <col customWidth="1" min="9" max="9" width="12.38"/>
    <col customWidth="1" min="11" max="11" width="16.13"/>
    <col customWidth="1" min="13" max="13" width="15.13"/>
    <col customWidth="1" min="15" max="15" width="13.75"/>
    <col customWidth="1" min="18" max="18" width="14.38"/>
  </cols>
  <sheetData>
    <row r="1">
      <c r="A1" s="1" t="s">
        <v>240</v>
      </c>
      <c r="B1" s="2"/>
      <c r="C1" s="3"/>
      <c r="D1" s="26" t="s">
        <v>241</v>
      </c>
      <c r="E1" s="3"/>
      <c r="F1" s="6" t="s">
        <v>3</v>
      </c>
      <c r="G1" s="3"/>
      <c r="H1" s="7" t="s">
        <v>4</v>
      </c>
      <c r="I1" s="3"/>
      <c r="J1" s="8" t="s">
        <v>5</v>
      </c>
      <c r="K1" s="3"/>
      <c r="L1" s="9" t="s">
        <v>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7</v>
      </c>
      <c r="B3" s="3"/>
      <c r="C3" s="12" t="s">
        <v>8</v>
      </c>
      <c r="D3" s="3"/>
      <c r="E3" s="11" t="s">
        <v>9</v>
      </c>
      <c r="F3" s="3"/>
      <c r="G3" s="11" t="s">
        <v>10</v>
      </c>
      <c r="H3" s="3"/>
      <c r="I3" s="11" t="s">
        <v>11</v>
      </c>
      <c r="J3" s="3"/>
      <c r="K3" s="13" t="s">
        <v>14</v>
      </c>
      <c r="L3" s="3"/>
      <c r="M3" s="11" t="s">
        <v>13</v>
      </c>
      <c r="N3" s="3"/>
      <c r="O3" s="11" t="s">
        <v>12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15</v>
      </c>
      <c r="B4" s="14"/>
      <c r="C4" s="3" t="s">
        <v>16</v>
      </c>
      <c r="D4" s="3"/>
      <c r="E4" s="15" t="s">
        <v>17</v>
      </c>
      <c r="F4" s="3"/>
      <c r="G4" s="3" t="s">
        <v>18</v>
      </c>
      <c r="H4" s="3"/>
      <c r="I4" s="3" t="s">
        <v>19</v>
      </c>
      <c r="J4" s="3"/>
      <c r="K4" s="3" t="s">
        <v>22</v>
      </c>
      <c r="L4" s="3"/>
      <c r="M4" s="3" t="s">
        <v>21</v>
      </c>
      <c r="N4" s="3"/>
      <c r="O4" s="3" t="s">
        <v>20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23</v>
      </c>
      <c r="B5" s="3"/>
      <c r="C5" s="14" t="s">
        <v>24</v>
      </c>
      <c r="D5" s="3"/>
      <c r="E5" s="14" t="s">
        <v>25</v>
      </c>
      <c r="F5" s="3"/>
      <c r="G5" s="14" t="s">
        <v>26</v>
      </c>
      <c r="H5" s="3"/>
      <c r="I5" s="14" t="s">
        <v>27</v>
      </c>
      <c r="J5" s="3"/>
      <c r="K5" s="14" t="s">
        <v>30</v>
      </c>
      <c r="L5" s="3"/>
      <c r="M5" s="14" t="s">
        <v>29</v>
      </c>
      <c r="N5" s="3"/>
      <c r="O5" s="14" t="s">
        <v>28</v>
      </c>
      <c r="P5" s="3"/>
      <c r="Q5" s="3"/>
      <c r="R5" s="14"/>
      <c r="S5" s="3"/>
      <c r="T5" s="3"/>
      <c r="U5" s="3"/>
      <c r="V5" s="3"/>
      <c r="W5" s="3"/>
      <c r="X5" s="3"/>
      <c r="Y5" s="3"/>
      <c r="Z5" s="3"/>
    </row>
    <row r="6">
      <c r="A6" s="3"/>
      <c r="B6" s="16" t="s">
        <v>31</v>
      </c>
      <c r="C6" s="3"/>
      <c r="D6" s="16" t="s">
        <v>31</v>
      </c>
      <c r="E6" s="3"/>
      <c r="F6" s="16" t="s">
        <v>31</v>
      </c>
      <c r="G6" s="3"/>
      <c r="H6" s="16" t="s">
        <v>31</v>
      </c>
      <c r="I6" s="3"/>
      <c r="J6" s="16" t="s">
        <v>31</v>
      </c>
      <c r="K6" s="3"/>
      <c r="L6" s="16" t="s">
        <v>31</v>
      </c>
      <c r="M6" s="3"/>
      <c r="N6" s="16" t="s">
        <v>31</v>
      </c>
      <c r="O6" s="3"/>
      <c r="P6" s="16" t="s">
        <v>31</v>
      </c>
      <c r="Q6" s="3"/>
      <c r="R6" s="14"/>
      <c r="S6" s="3"/>
      <c r="T6" s="3"/>
      <c r="U6" s="3"/>
      <c r="V6" s="3"/>
      <c r="W6" s="3"/>
      <c r="X6" s="3"/>
      <c r="Y6" s="3"/>
      <c r="Z6" s="3"/>
    </row>
    <row r="7">
      <c r="A7" s="17" t="s">
        <v>32</v>
      </c>
      <c r="B7" s="17"/>
      <c r="C7" s="17" t="s">
        <v>32</v>
      </c>
      <c r="D7" s="17"/>
      <c r="E7" s="17" t="s">
        <v>32</v>
      </c>
      <c r="F7" s="17"/>
      <c r="G7" s="17" t="s">
        <v>32</v>
      </c>
      <c r="H7" s="17"/>
      <c r="I7" s="17" t="s">
        <v>32</v>
      </c>
      <c r="J7" s="17"/>
      <c r="K7" s="17" t="s">
        <v>32</v>
      </c>
      <c r="L7" s="17"/>
      <c r="M7" s="17" t="s">
        <v>32</v>
      </c>
      <c r="N7" s="17"/>
      <c r="O7" s="17" t="s">
        <v>32</v>
      </c>
      <c r="P7" s="17"/>
      <c r="Q7" s="17"/>
      <c r="R7" s="14"/>
      <c r="S7" s="17"/>
      <c r="T7" s="17"/>
      <c r="U7" s="17"/>
      <c r="V7" s="17"/>
      <c r="W7" s="17"/>
      <c r="X7" s="17"/>
      <c r="Y7" s="17"/>
      <c r="Z7" s="17"/>
    </row>
    <row r="8">
      <c r="A8" s="19" t="s">
        <v>33</v>
      </c>
      <c r="B8" s="14">
        <v>20.0</v>
      </c>
      <c r="C8" s="19" t="s">
        <v>34</v>
      </c>
      <c r="D8" s="14">
        <v>20.0</v>
      </c>
      <c r="E8" s="19" t="s">
        <v>35</v>
      </c>
      <c r="F8" s="14">
        <v>39.0</v>
      </c>
      <c r="G8" s="19" t="s">
        <v>36</v>
      </c>
      <c r="H8" s="14">
        <v>18.0</v>
      </c>
      <c r="I8" s="19" t="s">
        <v>37</v>
      </c>
      <c r="J8" s="14">
        <v>29.0</v>
      </c>
      <c r="K8" s="19" t="s">
        <v>40</v>
      </c>
      <c r="L8" s="14">
        <v>29.0</v>
      </c>
      <c r="M8" s="3" t="s">
        <v>39</v>
      </c>
      <c r="N8" s="14"/>
      <c r="O8" s="3" t="s">
        <v>38</v>
      </c>
      <c r="P8" s="14"/>
      <c r="Q8" s="3"/>
      <c r="R8" s="14"/>
      <c r="S8" s="3"/>
      <c r="T8" s="3"/>
      <c r="U8" s="3"/>
      <c r="V8" s="3"/>
      <c r="W8" s="3"/>
      <c r="X8" s="3"/>
      <c r="Y8" s="3"/>
      <c r="Z8" s="3"/>
    </row>
    <row r="9">
      <c r="A9" s="3" t="s">
        <v>41</v>
      </c>
      <c r="C9" s="3" t="s">
        <v>42</v>
      </c>
      <c r="E9" s="3" t="s">
        <v>43</v>
      </c>
      <c r="G9" s="3" t="s">
        <v>44</v>
      </c>
      <c r="I9" s="3" t="s">
        <v>45</v>
      </c>
      <c r="K9" s="3" t="s">
        <v>48</v>
      </c>
      <c r="M9" s="19" t="s">
        <v>47</v>
      </c>
      <c r="N9" s="14">
        <v>22.0</v>
      </c>
      <c r="O9" s="19" t="s">
        <v>46</v>
      </c>
      <c r="P9" s="14">
        <v>35.0</v>
      </c>
      <c r="Q9" s="3"/>
      <c r="R9" s="14"/>
      <c r="S9" s="3"/>
      <c r="T9" s="3"/>
      <c r="U9" s="3"/>
      <c r="V9" s="3"/>
      <c r="W9" s="3"/>
      <c r="X9" s="3"/>
      <c r="Y9" s="3"/>
      <c r="Z9" s="3"/>
    </row>
    <row r="10">
      <c r="A10" s="3" t="s">
        <v>49</v>
      </c>
      <c r="B10" s="3"/>
      <c r="C10" s="3" t="s">
        <v>50</v>
      </c>
      <c r="D10" s="3"/>
      <c r="E10" s="3" t="s">
        <v>242</v>
      </c>
      <c r="F10" s="3"/>
      <c r="G10" s="3" t="s">
        <v>52</v>
      </c>
      <c r="H10" s="3"/>
      <c r="I10" s="3" t="s">
        <v>53</v>
      </c>
      <c r="J10" s="3"/>
      <c r="K10" s="3" t="s">
        <v>56</v>
      </c>
      <c r="L10" s="3"/>
      <c r="M10" s="3" t="s">
        <v>55</v>
      </c>
      <c r="N10" s="3"/>
      <c r="O10" s="3" t="s">
        <v>54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C11" s="3"/>
      <c r="E11" s="3"/>
      <c r="G11" s="3"/>
      <c r="I11" s="3"/>
      <c r="K11" s="3"/>
      <c r="M11" s="3"/>
      <c r="O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57</v>
      </c>
      <c r="B12" s="17"/>
      <c r="C12" s="17" t="s">
        <v>57</v>
      </c>
      <c r="D12" s="17"/>
      <c r="E12" s="17" t="s">
        <v>57</v>
      </c>
      <c r="F12" s="17"/>
      <c r="G12" s="17" t="s">
        <v>57</v>
      </c>
      <c r="H12" s="17"/>
      <c r="I12" s="17" t="s">
        <v>57</v>
      </c>
      <c r="J12" s="17"/>
      <c r="K12" s="17" t="s">
        <v>57</v>
      </c>
      <c r="L12" s="17"/>
      <c r="M12" s="17" t="s">
        <v>57</v>
      </c>
      <c r="N12" s="17"/>
      <c r="O12" s="17" t="s">
        <v>57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 t="s">
        <v>58</v>
      </c>
      <c r="B13" s="14">
        <v>17.0</v>
      </c>
      <c r="C13" s="19" t="s">
        <v>59</v>
      </c>
      <c r="D13" s="14">
        <v>16.0</v>
      </c>
      <c r="E13" s="3" t="s">
        <v>60</v>
      </c>
      <c r="F13" s="14"/>
      <c r="G13" s="3" t="s">
        <v>61</v>
      </c>
      <c r="H13" s="14"/>
      <c r="I13" s="19" t="s">
        <v>62</v>
      </c>
      <c r="J13" s="14">
        <v>0.0</v>
      </c>
      <c r="K13" s="3" t="s">
        <v>65</v>
      </c>
      <c r="L13" s="14"/>
      <c r="M13" s="19" t="s">
        <v>64</v>
      </c>
      <c r="N13" s="14">
        <v>4.0</v>
      </c>
      <c r="O13" s="22" t="s">
        <v>63</v>
      </c>
      <c r="P13" s="14">
        <v>5.0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66</v>
      </c>
      <c r="C14" s="19" t="s">
        <v>67</v>
      </c>
      <c r="D14" s="14">
        <v>16.0</v>
      </c>
      <c r="E14" s="19" t="s">
        <v>68</v>
      </c>
      <c r="F14" s="14">
        <v>14.0</v>
      </c>
      <c r="G14" s="19" t="s">
        <v>69</v>
      </c>
      <c r="H14" s="14">
        <v>6.0</v>
      </c>
      <c r="I14" s="19" t="s">
        <v>70</v>
      </c>
      <c r="J14" s="14">
        <v>20.0</v>
      </c>
      <c r="K14" s="19" t="s">
        <v>73</v>
      </c>
      <c r="L14" s="14">
        <v>3.0</v>
      </c>
      <c r="M14" s="19" t="s">
        <v>72</v>
      </c>
      <c r="N14" s="14">
        <v>1.0</v>
      </c>
      <c r="O14" s="3" t="s">
        <v>71</v>
      </c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74</v>
      </c>
      <c r="B15" s="14"/>
      <c r="C15" s="3" t="s">
        <v>75</v>
      </c>
      <c r="D15" s="14"/>
      <c r="E15" s="3" t="s">
        <v>76</v>
      </c>
      <c r="F15" s="14"/>
      <c r="G15" s="19" t="s">
        <v>77</v>
      </c>
      <c r="H15" s="14">
        <v>16.0</v>
      </c>
      <c r="I15" s="3" t="s">
        <v>78</v>
      </c>
      <c r="J15" s="14"/>
      <c r="K15" s="19" t="s">
        <v>81</v>
      </c>
      <c r="L15" s="14">
        <v>0.0</v>
      </c>
      <c r="M15" s="3" t="s">
        <v>80</v>
      </c>
      <c r="N15" s="14"/>
      <c r="O15" s="19" t="s">
        <v>79</v>
      </c>
      <c r="P15" s="14">
        <v>4.0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 t="s">
        <v>82</v>
      </c>
      <c r="B16" s="14">
        <v>13.0</v>
      </c>
      <c r="C16" s="14" t="s">
        <v>83</v>
      </c>
      <c r="D16" s="14"/>
      <c r="E16" s="22" t="s">
        <v>84</v>
      </c>
      <c r="F16" s="14">
        <v>12.0</v>
      </c>
      <c r="G16" s="3" t="s">
        <v>214</v>
      </c>
      <c r="H16" s="14"/>
      <c r="I16" s="3" t="s">
        <v>86</v>
      </c>
      <c r="J16" s="14"/>
      <c r="K16" s="3" t="s">
        <v>243</v>
      </c>
      <c r="L16" s="14"/>
      <c r="M16" s="3" t="s">
        <v>88</v>
      </c>
      <c r="N16" s="14"/>
      <c r="O16" s="3" t="s">
        <v>87</v>
      </c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D17" s="3"/>
      <c r="E17" s="3"/>
      <c r="F17" s="3"/>
      <c r="G17" s="3"/>
      <c r="H17" s="3"/>
      <c r="I17" s="3"/>
      <c r="J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90</v>
      </c>
      <c r="B18" s="17"/>
      <c r="C18" s="17" t="s">
        <v>90</v>
      </c>
      <c r="D18" s="17"/>
      <c r="E18" s="17" t="s">
        <v>90</v>
      </c>
      <c r="F18" s="17"/>
      <c r="G18" s="17" t="s">
        <v>90</v>
      </c>
      <c r="H18" s="17"/>
      <c r="I18" s="17" t="s">
        <v>90</v>
      </c>
      <c r="J18" s="17"/>
      <c r="K18" s="17" t="s">
        <v>90</v>
      </c>
      <c r="L18" s="17"/>
      <c r="M18" s="17" t="s">
        <v>90</v>
      </c>
      <c r="N18" s="17"/>
      <c r="O18" s="17" t="s">
        <v>90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 t="s">
        <v>91</v>
      </c>
      <c r="B19" s="14">
        <v>8.0</v>
      </c>
      <c r="C19" s="19" t="s">
        <v>92</v>
      </c>
      <c r="D19" s="14">
        <v>10.0</v>
      </c>
      <c r="E19" s="19" t="s">
        <v>93</v>
      </c>
      <c r="F19" s="14">
        <v>8.0</v>
      </c>
      <c r="G19" s="3" t="s">
        <v>94</v>
      </c>
      <c r="H19" s="14"/>
      <c r="I19" s="3" t="s">
        <v>95</v>
      </c>
      <c r="J19" s="14"/>
      <c r="K19" s="14" t="s">
        <v>98</v>
      </c>
      <c r="L19" s="14"/>
      <c r="M19" s="3" t="s">
        <v>97</v>
      </c>
      <c r="N19" s="14"/>
      <c r="O19" s="3" t="s">
        <v>96</v>
      </c>
      <c r="P19" s="14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4" t="s">
        <v>99</v>
      </c>
      <c r="C20" s="23" t="s">
        <v>100</v>
      </c>
      <c r="D20" s="14"/>
      <c r="E20" s="3" t="s">
        <v>101</v>
      </c>
      <c r="F20" s="14"/>
      <c r="G20" s="19" t="s">
        <v>102</v>
      </c>
      <c r="H20" s="14">
        <v>13.0</v>
      </c>
      <c r="I20" s="19" t="s">
        <v>103</v>
      </c>
      <c r="J20" s="14">
        <v>1.0</v>
      </c>
      <c r="K20" s="19" t="s">
        <v>106</v>
      </c>
      <c r="L20" s="14">
        <v>10.0</v>
      </c>
      <c r="M20" s="19" t="s">
        <v>105</v>
      </c>
      <c r="N20" s="14">
        <v>4.0</v>
      </c>
      <c r="O20" s="22" t="s">
        <v>104</v>
      </c>
      <c r="P20" s="14">
        <v>18.0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107</v>
      </c>
      <c r="B21" s="14">
        <v>6.0</v>
      </c>
      <c r="C21" s="19" t="s">
        <v>108</v>
      </c>
      <c r="D21" s="14">
        <v>9.0</v>
      </c>
      <c r="E21" s="23" t="s">
        <v>109</v>
      </c>
      <c r="F21" s="14"/>
      <c r="G21" s="3" t="s">
        <v>110</v>
      </c>
      <c r="H21" s="14"/>
      <c r="I21" s="19" t="s">
        <v>111</v>
      </c>
      <c r="J21" s="14">
        <v>14.0</v>
      </c>
      <c r="K21" s="3" t="s">
        <v>114</v>
      </c>
      <c r="L21" s="14"/>
      <c r="M21" s="19" t="s">
        <v>113</v>
      </c>
      <c r="N21" s="14">
        <v>2.0</v>
      </c>
      <c r="O21" s="19" t="s">
        <v>112</v>
      </c>
      <c r="P21" s="14">
        <v>6.0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115</v>
      </c>
      <c r="C22" s="3" t="s">
        <v>116</v>
      </c>
      <c r="E22" s="19" t="s">
        <v>117</v>
      </c>
      <c r="F22" s="14">
        <v>8.0</v>
      </c>
      <c r="G22" s="19" t="s">
        <v>218</v>
      </c>
      <c r="H22" s="14">
        <v>0.0</v>
      </c>
      <c r="I22" s="3" t="s">
        <v>119</v>
      </c>
      <c r="K22" s="19" t="s">
        <v>122</v>
      </c>
      <c r="L22" s="14">
        <v>7.0</v>
      </c>
      <c r="M22" s="3" t="s">
        <v>121</v>
      </c>
      <c r="O22" s="14" t="s">
        <v>120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C23" s="3"/>
      <c r="E23" s="3"/>
      <c r="G23" s="3"/>
      <c r="I23" s="3"/>
      <c r="K23" s="3"/>
      <c r="M23" s="3"/>
      <c r="O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 t="s">
        <v>123</v>
      </c>
      <c r="B24" s="17"/>
      <c r="C24" s="17" t="s">
        <v>123</v>
      </c>
      <c r="D24" s="17"/>
      <c r="E24" s="17" t="s">
        <v>123</v>
      </c>
      <c r="F24" s="17"/>
      <c r="G24" s="17" t="s">
        <v>123</v>
      </c>
      <c r="H24" s="17"/>
      <c r="I24" s="17" t="s">
        <v>123</v>
      </c>
      <c r="J24" s="17"/>
      <c r="K24" s="17" t="s">
        <v>123</v>
      </c>
      <c r="L24" s="17"/>
      <c r="M24" s="17" t="s">
        <v>123</v>
      </c>
      <c r="N24" s="17"/>
      <c r="O24" s="17" t="s">
        <v>123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3" t="s">
        <v>124</v>
      </c>
      <c r="B25" s="14"/>
      <c r="C25" s="3" t="s">
        <v>125</v>
      </c>
      <c r="D25" s="14"/>
      <c r="E25" s="19" t="s">
        <v>126</v>
      </c>
      <c r="F25" s="14">
        <v>19.0</v>
      </c>
      <c r="G25" s="3" t="s">
        <v>127</v>
      </c>
      <c r="H25" s="14"/>
      <c r="I25" s="3" t="s">
        <v>128</v>
      </c>
      <c r="J25" s="14"/>
      <c r="K25" s="19" t="s">
        <v>131</v>
      </c>
      <c r="L25" s="14">
        <v>32.0</v>
      </c>
      <c r="M25" s="19" t="s">
        <v>130</v>
      </c>
      <c r="N25" s="14">
        <v>14.0</v>
      </c>
      <c r="O25" s="19" t="s">
        <v>129</v>
      </c>
      <c r="P25" s="14">
        <v>0.0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132</v>
      </c>
      <c r="B26" s="14"/>
      <c r="C26" s="19" t="s">
        <v>133</v>
      </c>
      <c r="D26" s="14">
        <v>6.0</v>
      </c>
      <c r="E26" s="3" t="s">
        <v>244</v>
      </c>
      <c r="F26" s="14"/>
      <c r="G26" s="19" t="s">
        <v>135</v>
      </c>
      <c r="H26" s="14">
        <v>8.0</v>
      </c>
      <c r="I26" s="19" t="s">
        <v>136</v>
      </c>
      <c r="J26" s="14">
        <v>8.0</v>
      </c>
      <c r="K26" s="3" t="s">
        <v>139</v>
      </c>
      <c r="L26" s="14"/>
      <c r="M26" s="3" t="s">
        <v>138</v>
      </c>
      <c r="N26" s="14"/>
      <c r="O26" s="3" t="s">
        <v>137</v>
      </c>
      <c r="P26" s="14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140</v>
      </c>
      <c r="B27" s="14">
        <v>6.0</v>
      </c>
      <c r="C27" s="3" t="s">
        <v>141</v>
      </c>
      <c r="D27" s="14"/>
      <c r="E27" s="3" t="s">
        <v>142</v>
      </c>
      <c r="F27" s="14"/>
      <c r="G27" s="3" t="s">
        <v>143</v>
      </c>
      <c r="H27" s="14"/>
      <c r="I27" s="3" t="s">
        <v>144</v>
      </c>
      <c r="J27" s="14"/>
      <c r="K27" s="3" t="s">
        <v>147</v>
      </c>
      <c r="L27" s="14"/>
      <c r="M27" s="3" t="s">
        <v>146</v>
      </c>
      <c r="N27" s="14"/>
      <c r="O27" s="3" t="s">
        <v>145</v>
      </c>
      <c r="P27" s="14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C28" s="3"/>
      <c r="E28" s="3"/>
      <c r="G28" s="3"/>
      <c r="I28" s="3"/>
      <c r="K28" s="3"/>
      <c r="M28" s="3"/>
      <c r="O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148</v>
      </c>
      <c r="C29" s="17" t="s">
        <v>148</v>
      </c>
      <c r="E29" s="17" t="s">
        <v>148</v>
      </c>
      <c r="G29" s="17" t="s">
        <v>148</v>
      </c>
      <c r="I29" s="17" t="s">
        <v>148</v>
      </c>
      <c r="K29" s="17" t="s">
        <v>148</v>
      </c>
      <c r="M29" s="17" t="s">
        <v>148</v>
      </c>
      <c r="O29" s="17" t="s">
        <v>148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3" t="s">
        <v>149</v>
      </c>
      <c r="B30" s="14"/>
      <c r="C30" s="3" t="s">
        <v>150</v>
      </c>
      <c r="D30" s="14"/>
      <c r="E30" s="19" t="s">
        <v>151</v>
      </c>
      <c r="F30" s="14">
        <v>5.0</v>
      </c>
      <c r="G30" s="3" t="s">
        <v>152</v>
      </c>
      <c r="H30" s="14"/>
      <c r="I30" s="19" t="s">
        <v>153</v>
      </c>
      <c r="J30" s="14">
        <v>11.0</v>
      </c>
      <c r="K30" s="19" t="s">
        <v>156</v>
      </c>
      <c r="L30" s="14">
        <v>3.0</v>
      </c>
      <c r="M30" s="19" t="s">
        <v>155</v>
      </c>
      <c r="N30" s="14">
        <v>1.0</v>
      </c>
      <c r="O30" s="19" t="s">
        <v>154</v>
      </c>
      <c r="P30" s="14">
        <v>-2.0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157</v>
      </c>
      <c r="B31" s="14">
        <v>6.0</v>
      </c>
      <c r="C31" s="19" t="s">
        <v>158</v>
      </c>
      <c r="D31" s="14">
        <v>5.0</v>
      </c>
      <c r="E31" s="3" t="s">
        <v>159</v>
      </c>
      <c r="F31" s="14"/>
      <c r="G31" s="19" t="s">
        <v>160</v>
      </c>
      <c r="H31" s="14">
        <v>8.0</v>
      </c>
      <c r="I31" s="3" t="s">
        <v>161</v>
      </c>
      <c r="J31" s="14"/>
      <c r="K31" s="3" t="s">
        <v>164</v>
      </c>
      <c r="L31" s="14"/>
      <c r="M31" s="3" t="s">
        <v>163</v>
      </c>
      <c r="N31" s="14"/>
      <c r="O31" s="3" t="s">
        <v>162</v>
      </c>
      <c r="P31" s="14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165</v>
      </c>
      <c r="B33" s="17"/>
      <c r="C33" s="17" t="s">
        <v>165</v>
      </c>
      <c r="D33" s="17"/>
      <c r="E33" s="17" t="s">
        <v>165</v>
      </c>
      <c r="F33" s="17"/>
      <c r="G33" s="17" t="s">
        <v>165</v>
      </c>
      <c r="H33" s="17"/>
      <c r="I33" s="17" t="s">
        <v>165</v>
      </c>
      <c r="J33" s="17"/>
      <c r="K33" s="17" t="s">
        <v>165</v>
      </c>
      <c r="L33" s="17"/>
      <c r="M33" s="17" t="s">
        <v>165</v>
      </c>
      <c r="N33" s="17"/>
      <c r="O33" s="17" t="s">
        <v>165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9" t="s">
        <v>166</v>
      </c>
      <c r="B34" s="14">
        <v>3.0</v>
      </c>
      <c r="C34" s="19" t="s">
        <v>167</v>
      </c>
      <c r="D34" s="14">
        <v>0.0</v>
      </c>
      <c r="E34" s="3" t="s">
        <v>168</v>
      </c>
      <c r="F34" s="17"/>
      <c r="G34" s="19" t="s">
        <v>169</v>
      </c>
      <c r="H34" s="14">
        <v>5.0</v>
      </c>
      <c r="I34" s="19" t="s">
        <v>170</v>
      </c>
      <c r="J34" s="14">
        <v>4.0</v>
      </c>
      <c r="K34" s="19" t="s">
        <v>173</v>
      </c>
      <c r="L34" s="14">
        <v>3.0</v>
      </c>
      <c r="M34" s="3" t="s">
        <v>172</v>
      </c>
      <c r="N34" s="14"/>
      <c r="O34" s="19" t="s">
        <v>171</v>
      </c>
      <c r="P34" s="14">
        <v>16.0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174</v>
      </c>
      <c r="B35" s="14"/>
      <c r="C35" s="3" t="s">
        <v>175</v>
      </c>
      <c r="D35" s="14"/>
      <c r="E35" s="19" t="s">
        <v>176</v>
      </c>
      <c r="F35" s="14">
        <v>12.0</v>
      </c>
      <c r="G35" s="3" t="s">
        <v>177</v>
      </c>
      <c r="H35" s="14"/>
      <c r="I35" s="3" t="s">
        <v>178</v>
      </c>
      <c r="J35" s="14"/>
      <c r="K35" s="3" t="s">
        <v>181</v>
      </c>
      <c r="L35" s="14"/>
      <c r="M35" s="19" t="s">
        <v>180</v>
      </c>
      <c r="N35" s="14">
        <v>4.0</v>
      </c>
      <c r="O35" s="3" t="s">
        <v>179</v>
      </c>
      <c r="P35" s="14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F36" s="3"/>
      <c r="G36" s="3"/>
      <c r="H36" s="3"/>
      <c r="I36" s="3"/>
      <c r="J36" s="3"/>
      <c r="K36" s="3"/>
      <c r="L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182</v>
      </c>
      <c r="B37" s="17"/>
      <c r="C37" s="17" t="s">
        <v>182</v>
      </c>
      <c r="D37" s="17"/>
      <c r="E37" s="17" t="s">
        <v>182</v>
      </c>
      <c r="F37" s="17"/>
      <c r="G37" s="17" t="s">
        <v>182</v>
      </c>
      <c r="H37" s="17"/>
      <c r="I37" s="17" t="s">
        <v>182</v>
      </c>
      <c r="J37" s="17"/>
      <c r="K37" s="17" t="s">
        <v>182</v>
      </c>
      <c r="L37" s="17"/>
      <c r="M37" s="17" t="s">
        <v>182</v>
      </c>
      <c r="N37" s="17"/>
      <c r="O37" s="17" t="s">
        <v>182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9" t="s">
        <v>183</v>
      </c>
      <c r="B38" s="14">
        <v>2.0</v>
      </c>
      <c r="C38" s="3" t="s">
        <v>184</v>
      </c>
      <c r="D38" s="14"/>
      <c r="E38" s="19" t="s">
        <v>185</v>
      </c>
      <c r="F38" s="14">
        <v>5.0</v>
      </c>
      <c r="G38" s="3" t="s">
        <v>186</v>
      </c>
      <c r="H38" s="14"/>
      <c r="I38" s="19" t="s">
        <v>187</v>
      </c>
      <c r="J38" s="14">
        <v>3.0</v>
      </c>
      <c r="K38" s="19" t="s">
        <v>190</v>
      </c>
      <c r="L38" s="14">
        <v>1.0</v>
      </c>
      <c r="M38" s="3" t="s">
        <v>189</v>
      </c>
      <c r="N38" s="14"/>
      <c r="O38" s="19" t="s">
        <v>188</v>
      </c>
      <c r="P38" s="14">
        <v>2.0</v>
      </c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191</v>
      </c>
      <c r="B39" s="14"/>
      <c r="C39" s="19" t="s">
        <v>192</v>
      </c>
      <c r="D39" s="14">
        <v>5.0</v>
      </c>
      <c r="E39" s="3" t="s">
        <v>193</v>
      </c>
      <c r="F39" s="14"/>
      <c r="G39" s="19" t="s">
        <v>194</v>
      </c>
      <c r="H39" s="14">
        <v>-1.0</v>
      </c>
      <c r="I39" s="3" t="s">
        <v>195</v>
      </c>
      <c r="J39" s="14"/>
      <c r="K39" s="3" t="s">
        <v>198</v>
      </c>
      <c r="L39" s="14"/>
      <c r="M39" s="19" t="s">
        <v>197</v>
      </c>
      <c r="N39" s="14">
        <v>6.0</v>
      </c>
      <c r="O39" s="3" t="s">
        <v>196</v>
      </c>
      <c r="P39" s="14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>
        <f>SUM(B8:B39)</f>
        <v>81</v>
      </c>
      <c r="C40" s="3"/>
      <c r="D40" s="19">
        <f>SUM(D8:D39)</f>
        <v>87</v>
      </c>
      <c r="E40" s="3"/>
      <c r="F40" s="19">
        <f>SUM(F8:F39)</f>
        <v>122</v>
      </c>
      <c r="G40" s="3"/>
      <c r="H40" s="3">
        <f>SUM(H8:H39)</f>
        <v>73</v>
      </c>
      <c r="I40" s="3"/>
      <c r="J40" s="19">
        <f>SUM(J8:J39)</f>
        <v>90</v>
      </c>
      <c r="K40" s="3"/>
      <c r="L40" s="19">
        <f>SUM(L8:L39)</f>
        <v>88</v>
      </c>
      <c r="M40" s="3"/>
      <c r="N40" s="3">
        <f>SUM(N8:N39)</f>
        <v>58</v>
      </c>
      <c r="O40" s="3"/>
      <c r="P40" s="3">
        <f>SUM(P8:P39)</f>
        <v>84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221</v>
      </c>
      <c r="B42" s="3"/>
      <c r="C42" s="3" t="s">
        <v>221</v>
      </c>
      <c r="D42" s="3"/>
      <c r="E42" s="3" t="s">
        <v>221</v>
      </c>
      <c r="F42" s="3"/>
      <c r="G42" s="3" t="s">
        <v>221</v>
      </c>
      <c r="H42" s="14" t="s">
        <v>245</v>
      </c>
      <c r="I42" s="3" t="s">
        <v>221</v>
      </c>
      <c r="J42" s="3"/>
      <c r="K42" s="3" t="s">
        <v>221</v>
      </c>
      <c r="L42" s="14" t="s">
        <v>246</v>
      </c>
      <c r="M42" s="3" t="s">
        <v>221</v>
      </c>
      <c r="N42" s="3"/>
      <c r="O42" s="3" t="s">
        <v>221</v>
      </c>
      <c r="P42" s="14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 t="s">
        <v>148</v>
      </c>
      <c r="B43" s="23"/>
      <c r="C43" s="17" t="s">
        <v>32</v>
      </c>
      <c r="D43" s="17"/>
      <c r="E43" s="17" t="s">
        <v>32</v>
      </c>
      <c r="F43" s="17"/>
      <c r="G43" s="17" t="s">
        <v>57</v>
      </c>
      <c r="H43" s="17"/>
      <c r="I43" s="17" t="s">
        <v>90</v>
      </c>
      <c r="J43" s="17"/>
      <c r="K43" s="17" t="s">
        <v>32</v>
      </c>
      <c r="L43" s="17"/>
      <c r="M43" s="17" t="s">
        <v>90</v>
      </c>
      <c r="N43" s="17"/>
      <c r="O43" s="17" t="s">
        <v>32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" t="s">
        <v>222</v>
      </c>
      <c r="C44" s="3" t="s">
        <v>227</v>
      </c>
      <c r="D44" s="3"/>
      <c r="E44" s="3" t="s">
        <v>51</v>
      </c>
      <c r="F44" s="3"/>
      <c r="G44" s="3" t="s">
        <v>85</v>
      </c>
      <c r="H44" s="3"/>
      <c r="I44" s="3" t="s">
        <v>225</v>
      </c>
      <c r="J44" s="3"/>
      <c r="K44" s="3" t="s">
        <v>224</v>
      </c>
      <c r="L44" s="3"/>
      <c r="M44" s="3" t="s">
        <v>226</v>
      </c>
      <c r="N44" s="3"/>
      <c r="O44" s="3" t="s">
        <v>223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/>
      <c r="C45" s="17" t="s">
        <v>57</v>
      </c>
      <c r="D45" s="17"/>
      <c r="E45" s="17" t="s">
        <v>123</v>
      </c>
      <c r="F45" s="17"/>
      <c r="G45" s="17" t="s">
        <v>90</v>
      </c>
      <c r="H45" s="17"/>
      <c r="I45" s="17" t="s">
        <v>123</v>
      </c>
      <c r="J45" s="17"/>
      <c r="K45" s="17" t="s">
        <v>57</v>
      </c>
      <c r="L45" s="17"/>
      <c r="M45" s="17"/>
      <c r="N45" s="17"/>
      <c r="O45" s="17" t="s">
        <v>57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C46" s="3" t="s">
        <v>231</v>
      </c>
      <c r="D46" s="3"/>
      <c r="E46" s="3" t="s">
        <v>134</v>
      </c>
      <c r="F46" s="3"/>
      <c r="G46" s="3" t="s">
        <v>118</v>
      </c>
      <c r="H46" s="3"/>
      <c r="I46" s="3" t="s">
        <v>230</v>
      </c>
      <c r="J46" s="3"/>
      <c r="K46" s="3" t="s">
        <v>89</v>
      </c>
      <c r="L46" s="3"/>
      <c r="M46" s="3"/>
      <c r="N46" s="3"/>
      <c r="O46" s="3" t="s">
        <v>228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17"/>
      <c r="C47" s="17" t="s">
        <v>90</v>
      </c>
      <c r="D47" s="17"/>
      <c r="F47" s="17"/>
      <c r="G47" s="17" t="s">
        <v>123</v>
      </c>
      <c r="H47" s="17"/>
      <c r="I47" s="17" t="s">
        <v>182</v>
      </c>
      <c r="J47" s="17"/>
      <c r="K47" s="17" t="s">
        <v>90</v>
      </c>
      <c r="L47" s="17"/>
      <c r="M47" s="17"/>
      <c r="N47" s="17"/>
      <c r="O47" s="17" t="s">
        <v>90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B48" s="3"/>
      <c r="C48" s="3" t="s">
        <v>236</v>
      </c>
      <c r="D48" s="3"/>
      <c r="F48" s="3"/>
      <c r="G48" s="3" t="s">
        <v>235</v>
      </c>
      <c r="H48" s="3"/>
      <c r="I48" s="3" t="s">
        <v>234</v>
      </c>
      <c r="J48" s="3"/>
      <c r="K48" s="3" t="s">
        <v>229</v>
      </c>
      <c r="L48" s="3"/>
      <c r="M48" s="3"/>
      <c r="N48" s="3"/>
      <c r="O48" s="3" t="s">
        <v>232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17"/>
      <c r="C49" s="17" t="s">
        <v>123</v>
      </c>
      <c r="D49" s="17"/>
      <c r="F49" s="17"/>
      <c r="G49" s="17" t="s">
        <v>165</v>
      </c>
      <c r="H49" s="17"/>
      <c r="J49" s="17"/>
      <c r="K49" s="17" t="s">
        <v>123</v>
      </c>
      <c r="L49" s="17"/>
      <c r="M49" s="17"/>
      <c r="N49" s="17"/>
      <c r="O49" s="17" t="s">
        <v>123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"/>
      <c r="B50" s="3"/>
      <c r="C50" s="3" t="s">
        <v>239</v>
      </c>
      <c r="D50" s="3"/>
      <c r="F50" s="3"/>
      <c r="G50" s="3" t="s">
        <v>238</v>
      </c>
      <c r="H50" s="3"/>
      <c r="J50" s="3"/>
      <c r="K50" s="3" t="s">
        <v>233</v>
      </c>
      <c r="L50" s="3"/>
      <c r="M50" s="3"/>
      <c r="N50" s="3"/>
      <c r="O50" s="3" t="s">
        <v>237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4.25"/>
    <col customWidth="1" min="5" max="5" width="13.38"/>
    <col customWidth="1" min="7" max="7" width="13.13"/>
    <col customWidth="1" min="9" max="9" width="12.38"/>
    <col customWidth="1" min="11" max="11" width="14.13"/>
    <col customWidth="1" min="13" max="13" width="16.13"/>
    <col customWidth="1" min="15" max="15" width="13.75"/>
    <col customWidth="1" min="18" max="18" width="14.38"/>
  </cols>
  <sheetData>
    <row r="1">
      <c r="A1" s="1" t="s">
        <v>247</v>
      </c>
      <c r="B1" s="2"/>
      <c r="C1" s="3"/>
      <c r="D1" s="26" t="s">
        <v>208</v>
      </c>
      <c r="E1" s="3"/>
      <c r="F1" s="6" t="s">
        <v>3</v>
      </c>
      <c r="G1" s="3"/>
      <c r="H1" s="7" t="s">
        <v>4</v>
      </c>
      <c r="I1" s="3"/>
      <c r="J1" s="8" t="s">
        <v>5</v>
      </c>
      <c r="K1" s="3"/>
      <c r="L1" s="9" t="s">
        <v>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7</v>
      </c>
      <c r="B3" s="3"/>
      <c r="C3" s="11" t="s">
        <v>248</v>
      </c>
      <c r="D3" s="3"/>
      <c r="E3" s="12" t="s">
        <v>8</v>
      </c>
      <c r="F3" s="3"/>
      <c r="G3" s="11" t="s">
        <v>10</v>
      </c>
      <c r="H3" s="3"/>
      <c r="I3" s="11" t="s">
        <v>11</v>
      </c>
      <c r="J3" s="3"/>
      <c r="K3" s="11" t="s">
        <v>13</v>
      </c>
      <c r="L3" s="3"/>
      <c r="M3" s="13" t="s">
        <v>249</v>
      </c>
      <c r="N3" s="3"/>
      <c r="O3" s="11" t="s">
        <v>12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15</v>
      </c>
      <c r="B4" s="14"/>
      <c r="C4" s="15" t="s">
        <v>17</v>
      </c>
      <c r="D4" s="3"/>
      <c r="E4" s="3" t="s">
        <v>16</v>
      </c>
      <c r="F4" s="3"/>
      <c r="G4" s="3" t="s">
        <v>18</v>
      </c>
      <c r="H4" s="3"/>
      <c r="I4" s="3" t="s">
        <v>19</v>
      </c>
      <c r="J4" s="3"/>
      <c r="K4" s="3" t="s">
        <v>21</v>
      </c>
      <c r="L4" s="3"/>
      <c r="M4" s="3" t="s">
        <v>22</v>
      </c>
      <c r="N4" s="3"/>
      <c r="O4" s="3" t="s">
        <v>20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23</v>
      </c>
      <c r="B5" s="3"/>
      <c r="C5" s="14" t="s">
        <v>25</v>
      </c>
      <c r="D5" s="3"/>
      <c r="E5" s="14" t="s">
        <v>24</v>
      </c>
      <c r="F5" s="3"/>
      <c r="G5" s="14" t="s">
        <v>26</v>
      </c>
      <c r="H5" s="3"/>
      <c r="I5" s="14" t="s">
        <v>27</v>
      </c>
      <c r="J5" s="3"/>
      <c r="K5" s="14" t="s">
        <v>29</v>
      </c>
      <c r="L5" s="3"/>
      <c r="M5" s="14" t="s">
        <v>30</v>
      </c>
      <c r="N5" s="3"/>
      <c r="O5" s="14" t="s">
        <v>28</v>
      </c>
      <c r="P5" s="3"/>
      <c r="Q5" s="3"/>
      <c r="R5" s="14"/>
      <c r="S5" s="3"/>
      <c r="T5" s="3"/>
      <c r="U5" s="3"/>
      <c r="V5" s="3"/>
      <c r="W5" s="3"/>
      <c r="X5" s="3"/>
      <c r="Y5" s="3"/>
      <c r="Z5" s="3"/>
    </row>
    <row r="6">
      <c r="A6" s="3"/>
      <c r="B6" s="16" t="s">
        <v>31</v>
      </c>
      <c r="C6" s="3"/>
      <c r="D6" s="16" t="s">
        <v>31</v>
      </c>
      <c r="E6" s="3"/>
      <c r="F6" s="16" t="s">
        <v>31</v>
      </c>
      <c r="G6" s="3"/>
      <c r="H6" s="16" t="s">
        <v>31</v>
      </c>
      <c r="I6" s="3"/>
      <c r="J6" s="16" t="s">
        <v>31</v>
      </c>
      <c r="K6" s="3"/>
      <c r="L6" s="16" t="s">
        <v>31</v>
      </c>
      <c r="M6" s="3"/>
      <c r="N6" s="16" t="s">
        <v>31</v>
      </c>
      <c r="O6" s="3"/>
      <c r="P6" s="16" t="s">
        <v>31</v>
      </c>
      <c r="Q6" s="3"/>
      <c r="R6" s="14"/>
      <c r="S6" s="3"/>
      <c r="T6" s="3"/>
      <c r="U6" s="3"/>
      <c r="V6" s="3"/>
      <c r="W6" s="3"/>
      <c r="X6" s="3"/>
      <c r="Y6" s="3"/>
      <c r="Z6" s="3"/>
    </row>
    <row r="7">
      <c r="A7" s="17" t="s">
        <v>32</v>
      </c>
      <c r="B7" s="17"/>
      <c r="C7" s="17" t="s">
        <v>32</v>
      </c>
      <c r="D7" s="17"/>
      <c r="E7" s="17" t="s">
        <v>32</v>
      </c>
      <c r="F7" s="17"/>
      <c r="G7" s="17" t="s">
        <v>32</v>
      </c>
      <c r="H7" s="17"/>
      <c r="I7" s="17" t="s">
        <v>32</v>
      </c>
      <c r="J7" s="17"/>
      <c r="K7" s="17" t="s">
        <v>32</v>
      </c>
      <c r="L7" s="17"/>
      <c r="M7" s="17" t="s">
        <v>32</v>
      </c>
      <c r="N7" s="17"/>
      <c r="O7" s="17" t="s">
        <v>32</v>
      </c>
      <c r="P7" s="17"/>
      <c r="Q7" s="17"/>
      <c r="R7" s="14"/>
      <c r="S7" s="17"/>
      <c r="T7" s="17"/>
      <c r="U7" s="17"/>
      <c r="V7" s="17"/>
      <c r="W7" s="17"/>
      <c r="X7" s="17"/>
      <c r="Y7" s="17"/>
      <c r="Z7" s="17"/>
    </row>
    <row r="8">
      <c r="A8" s="19" t="s">
        <v>33</v>
      </c>
      <c r="B8" s="14">
        <v>36.0</v>
      </c>
      <c r="C8" s="19" t="s">
        <v>35</v>
      </c>
      <c r="D8" s="14">
        <v>17.0</v>
      </c>
      <c r="E8" s="19" t="s">
        <v>34</v>
      </c>
      <c r="F8" s="14">
        <v>7.0</v>
      </c>
      <c r="G8" s="19" t="s">
        <v>36</v>
      </c>
      <c r="H8" s="14">
        <v>40.0</v>
      </c>
      <c r="I8" s="3" t="s">
        <v>37</v>
      </c>
      <c r="J8" s="14"/>
      <c r="K8" s="19" t="s">
        <v>39</v>
      </c>
      <c r="L8" s="14">
        <v>27.0</v>
      </c>
      <c r="M8" s="19" t="s">
        <v>40</v>
      </c>
      <c r="N8" s="14">
        <v>33.0</v>
      </c>
      <c r="O8" s="3" t="s">
        <v>38</v>
      </c>
      <c r="P8" s="14"/>
      <c r="Q8" s="3"/>
      <c r="R8" s="14"/>
      <c r="S8" s="3"/>
      <c r="T8" s="3"/>
      <c r="U8" s="3"/>
      <c r="V8" s="3"/>
      <c r="W8" s="3"/>
      <c r="X8" s="3"/>
      <c r="Y8" s="3"/>
      <c r="Z8" s="3"/>
    </row>
    <row r="9">
      <c r="A9" s="3" t="s">
        <v>41</v>
      </c>
      <c r="C9" s="3" t="s">
        <v>43</v>
      </c>
      <c r="E9" s="3" t="s">
        <v>42</v>
      </c>
      <c r="G9" s="3" t="s">
        <v>44</v>
      </c>
      <c r="I9" s="3" t="s">
        <v>45</v>
      </c>
      <c r="K9" s="3" t="s">
        <v>47</v>
      </c>
      <c r="M9" s="3" t="s">
        <v>48</v>
      </c>
      <c r="O9" s="3" t="s">
        <v>46</v>
      </c>
      <c r="Q9" s="3"/>
      <c r="R9" s="14"/>
      <c r="S9" s="3"/>
      <c r="T9" s="3"/>
      <c r="U9" s="3"/>
      <c r="V9" s="3"/>
      <c r="W9" s="3"/>
      <c r="X9" s="3"/>
      <c r="Y9" s="3"/>
      <c r="Z9" s="3"/>
    </row>
    <row r="10">
      <c r="A10" s="3" t="s">
        <v>49</v>
      </c>
      <c r="B10" s="3"/>
      <c r="C10" s="3" t="s">
        <v>242</v>
      </c>
      <c r="D10" s="3"/>
      <c r="E10" s="3" t="s">
        <v>50</v>
      </c>
      <c r="F10" s="3"/>
      <c r="G10" s="3" t="s">
        <v>52</v>
      </c>
      <c r="H10" s="3"/>
      <c r="I10" s="19" t="s">
        <v>53</v>
      </c>
      <c r="J10" s="14">
        <v>2.0</v>
      </c>
      <c r="K10" s="3" t="s">
        <v>55</v>
      </c>
      <c r="L10" s="3"/>
      <c r="M10" s="3" t="s">
        <v>56</v>
      </c>
      <c r="N10" s="3"/>
      <c r="O10" s="19" t="s">
        <v>54</v>
      </c>
      <c r="P10" s="14">
        <v>9.0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C11" s="3"/>
      <c r="E11" s="3"/>
      <c r="G11" s="3"/>
      <c r="I11" s="3"/>
      <c r="K11" s="3"/>
      <c r="M11" s="3"/>
      <c r="O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57</v>
      </c>
      <c r="B12" s="17"/>
      <c r="C12" s="17" t="s">
        <v>57</v>
      </c>
      <c r="D12" s="17"/>
      <c r="E12" s="17" t="s">
        <v>57</v>
      </c>
      <c r="F12" s="17"/>
      <c r="G12" s="17" t="s">
        <v>57</v>
      </c>
      <c r="H12" s="17"/>
      <c r="I12" s="17" t="s">
        <v>57</v>
      </c>
      <c r="J12" s="17"/>
      <c r="K12" s="17" t="s">
        <v>57</v>
      </c>
      <c r="L12" s="17"/>
      <c r="M12" s="17" t="s">
        <v>57</v>
      </c>
      <c r="N12" s="17"/>
      <c r="O12" s="17" t="s">
        <v>57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 t="s">
        <v>58</v>
      </c>
      <c r="B13" s="14">
        <v>5.0</v>
      </c>
      <c r="C13" s="3" t="s">
        <v>60</v>
      </c>
      <c r="D13" s="14"/>
      <c r="E13" s="28" t="s">
        <v>59</v>
      </c>
      <c r="F13" s="14">
        <v>23.0</v>
      </c>
      <c r="G13" s="28" t="s">
        <v>61</v>
      </c>
      <c r="H13" s="14">
        <v>0.0</v>
      </c>
      <c r="I13" s="19" t="s">
        <v>62</v>
      </c>
      <c r="J13" s="14">
        <v>1.0</v>
      </c>
      <c r="K13" s="19" t="s">
        <v>64</v>
      </c>
      <c r="L13" s="14">
        <v>35.0</v>
      </c>
      <c r="M13" s="3" t="s">
        <v>65</v>
      </c>
      <c r="N13" s="14"/>
      <c r="O13" s="22" t="s">
        <v>63</v>
      </c>
      <c r="P13" s="14">
        <v>6.0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 t="s">
        <v>66</v>
      </c>
      <c r="B14" s="14">
        <v>1.0</v>
      </c>
      <c r="C14" s="19" t="s">
        <v>68</v>
      </c>
      <c r="D14" s="14">
        <v>5.0</v>
      </c>
      <c r="E14" s="28" t="s">
        <v>67</v>
      </c>
      <c r="F14" s="14">
        <v>21.0</v>
      </c>
      <c r="G14" s="19" t="s">
        <v>69</v>
      </c>
      <c r="H14" s="14">
        <v>12.0</v>
      </c>
      <c r="I14" s="19" t="s">
        <v>70</v>
      </c>
      <c r="J14" s="14">
        <v>9.0</v>
      </c>
      <c r="K14" s="19" t="s">
        <v>72</v>
      </c>
      <c r="L14" s="14">
        <v>31.0</v>
      </c>
      <c r="M14" s="19" t="s">
        <v>73</v>
      </c>
      <c r="N14" s="14">
        <v>1.0</v>
      </c>
      <c r="O14" s="19" t="s">
        <v>71</v>
      </c>
      <c r="P14" s="14">
        <v>0.0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74</v>
      </c>
      <c r="B15" s="14"/>
      <c r="C15" s="19" t="s">
        <v>76</v>
      </c>
      <c r="D15" s="14">
        <v>3.0</v>
      </c>
      <c r="E15" s="29" t="s">
        <v>75</v>
      </c>
      <c r="F15" s="14"/>
      <c r="G15" s="3" t="s">
        <v>77</v>
      </c>
      <c r="H15" s="14"/>
      <c r="I15" s="3" t="s">
        <v>78</v>
      </c>
      <c r="J15" s="14"/>
      <c r="K15" s="3" t="s">
        <v>80</v>
      </c>
      <c r="L15" s="14"/>
      <c r="M15" s="19" t="s">
        <v>81</v>
      </c>
      <c r="N15" s="14">
        <v>3.0</v>
      </c>
      <c r="O15" s="3" t="s">
        <v>79</v>
      </c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82</v>
      </c>
      <c r="B16" s="14"/>
      <c r="C16" s="14" t="s">
        <v>84</v>
      </c>
      <c r="D16" s="14"/>
      <c r="E16" s="30" t="s">
        <v>83</v>
      </c>
      <c r="F16" s="14"/>
      <c r="G16" s="29" t="s">
        <v>214</v>
      </c>
      <c r="H16" s="14"/>
      <c r="I16" s="3" t="s">
        <v>86</v>
      </c>
      <c r="J16" s="14"/>
      <c r="K16" s="3" t="s">
        <v>88</v>
      </c>
      <c r="L16" s="14"/>
      <c r="M16" s="3" t="s">
        <v>243</v>
      </c>
      <c r="N16" s="14"/>
      <c r="O16" s="3" t="s">
        <v>87</v>
      </c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F17" s="3"/>
      <c r="G17" s="3"/>
      <c r="H17" s="3"/>
      <c r="I17" s="3"/>
      <c r="J17" s="3"/>
      <c r="K17" s="3"/>
      <c r="L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90</v>
      </c>
      <c r="B18" s="17"/>
      <c r="C18" s="17" t="s">
        <v>90</v>
      </c>
      <c r="D18" s="17"/>
      <c r="E18" s="17" t="s">
        <v>90</v>
      </c>
      <c r="F18" s="17"/>
      <c r="G18" s="17" t="s">
        <v>90</v>
      </c>
      <c r="H18" s="17"/>
      <c r="I18" s="17" t="s">
        <v>90</v>
      </c>
      <c r="J18" s="17"/>
      <c r="K18" s="17" t="s">
        <v>90</v>
      </c>
      <c r="L18" s="17"/>
      <c r="M18" s="17" t="s">
        <v>90</v>
      </c>
      <c r="N18" s="17"/>
      <c r="O18" s="17" t="s">
        <v>90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 t="s">
        <v>91</v>
      </c>
      <c r="B19" s="14">
        <v>44.0</v>
      </c>
      <c r="C19" s="19" t="s">
        <v>93</v>
      </c>
      <c r="D19" s="14">
        <v>17.0</v>
      </c>
      <c r="E19" s="19" t="s">
        <v>92</v>
      </c>
      <c r="F19" s="14">
        <v>5.0</v>
      </c>
      <c r="G19" s="19" t="s">
        <v>94</v>
      </c>
      <c r="H19" s="14">
        <v>12.0</v>
      </c>
      <c r="I19" s="3" t="s">
        <v>95</v>
      </c>
      <c r="J19" s="14"/>
      <c r="K19" s="19" t="s">
        <v>97</v>
      </c>
      <c r="L19" s="14">
        <v>17.0</v>
      </c>
      <c r="M19" s="22" t="s">
        <v>98</v>
      </c>
      <c r="N19" s="14">
        <v>17.0</v>
      </c>
      <c r="O19" s="3" t="s">
        <v>96</v>
      </c>
      <c r="P19" s="14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2" t="s">
        <v>99</v>
      </c>
      <c r="B20" s="14">
        <v>5.0</v>
      </c>
      <c r="C20" s="19" t="s">
        <v>101</v>
      </c>
      <c r="D20" s="14">
        <v>29.0</v>
      </c>
      <c r="E20" s="23" t="s">
        <v>100</v>
      </c>
      <c r="F20" s="14"/>
      <c r="G20" s="3" t="s">
        <v>102</v>
      </c>
      <c r="I20" s="19" t="s">
        <v>103</v>
      </c>
      <c r="J20" s="14">
        <v>9.0</v>
      </c>
      <c r="K20" s="19" t="s">
        <v>105</v>
      </c>
      <c r="L20" s="14">
        <v>10.0</v>
      </c>
      <c r="M20" s="19" t="s">
        <v>106</v>
      </c>
      <c r="N20" s="14">
        <v>11.0</v>
      </c>
      <c r="O20" s="22" t="s">
        <v>104</v>
      </c>
      <c r="P20" s="14">
        <v>19.0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107</v>
      </c>
      <c r="B21" s="14"/>
      <c r="C21" s="23" t="s">
        <v>109</v>
      </c>
      <c r="D21" s="14"/>
      <c r="E21" s="19" t="s">
        <v>108</v>
      </c>
      <c r="F21" s="14">
        <v>3.0</v>
      </c>
      <c r="G21" s="3" t="s">
        <v>110</v>
      </c>
      <c r="H21" s="14"/>
      <c r="I21" s="19" t="s">
        <v>111</v>
      </c>
      <c r="J21" s="14">
        <v>4.0</v>
      </c>
      <c r="K21" s="3" t="s">
        <v>113</v>
      </c>
      <c r="L21" s="14"/>
      <c r="M21" s="3" t="s">
        <v>114</v>
      </c>
      <c r="N21" s="14"/>
      <c r="O21" s="19" t="s">
        <v>112</v>
      </c>
      <c r="P21" s="14">
        <v>2.0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115</v>
      </c>
      <c r="C22" s="3" t="s">
        <v>117</v>
      </c>
      <c r="E22" s="3" t="s">
        <v>116</v>
      </c>
      <c r="F22" s="14"/>
      <c r="G22" s="19" t="s">
        <v>218</v>
      </c>
      <c r="H22" s="14">
        <v>1.0</v>
      </c>
      <c r="I22" s="3" t="s">
        <v>119</v>
      </c>
      <c r="K22" s="3" t="s">
        <v>121</v>
      </c>
      <c r="M22" s="3" t="s">
        <v>122</v>
      </c>
      <c r="O22" s="14" t="s">
        <v>120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C23" s="3"/>
      <c r="E23" s="3"/>
      <c r="G23" s="3"/>
      <c r="I23" s="3"/>
      <c r="K23" s="3"/>
      <c r="M23" s="3"/>
      <c r="O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 t="s">
        <v>123</v>
      </c>
      <c r="B24" s="17"/>
      <c r="C24" s="17" t="s">
        <v>123</v>
      </c>
      <c r="D24" s="17"/>
      <c r="E24" s="17" t="s">
        <v>123</v>
      </c>
      <c r="F24" s="17"/>
      <c r="G24" s="17" t="s">
        <v>123</v>
      </c>
      <c r="H24" s="17"/>
      <c r="I24" s="17" t="s">
        <v>123</v>
      </c>
      <c r="J24" s="17"/>
      <c r="K24" s="17" t="s">
        <v>123</v>
      </c>
      <c r="L24" s="17"/>
      <c r="M24" s="17" t="s">
        <v>123</v>
      </c>
      <c r="N24" s="17"/>
      <c r="O24" s="17" t="s">
        <v>123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3" t="s">
        <v>124</v>
      </c>
      <c r="B25" s="14"/>
      <c r="C25" s="19" t="s">
        <v>126</v>
      </c>
      <c r="D25" s="14">
        <v>8.0</v>
      </c>
      <c r="E25" s="3" t="s">
        <v>125</v>
      </c>
      <c r="F25" s="14"/>
      <c r="G25" s="3" t="s">
        <v>127</v>
      </c>
      <c r="H25" s="14"/>
      <c r="I25" s="19" t="s">
        <v>128</v>
      </c>
      <c r="J25" s="14">
        <v>0.0</v>
      </c>
      <c r="K25" s="3" t="s">
        <v>130</v>
      </c>
      <c r="L25" s="14"/>
      <c r="M25" s="19" t="s">
        <v>131</v>
      </c>
      <c r="N25" s="14">
        <v>2.0</v>
      </c>
      <c r="O25" s="19" t="s">
        <v>129</v>
      </c>
      <c r="P25" s="14">
        <v>6.0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132</v>
      </c>
      <c r="B26" s="14"/>
      <c r="C26" s="3" t="s">
        <v>244</v>
      </c>
      <c r="D26" s="14"/>
      <c r="E26" s="28" t="s">
        <v>133</v>
      </c>
      <c r="F26" s="14">
        <v>5.0</v>
      </c>
      <c r="G26" s="19" t="s">
        <v>135</v>
      </c>
      <c r="H26" s="14">
        <v>8.0</v>
      </c>
      <c r="I26" s="3" t="s">
        <v>136</v>
      </c>
      <c r="J26" s="14"/>
      <c r="K26" s="19" t="s">
        <v>138</v>
      </c>
      <c r="L26" s="14">
        <v>10.0</v>
      </c>
      <c r="M26" s="3" t="s">
        <v>139</v>
      </c>
      <c r="N26" s="14"/>
      <c r="O26" s="3" t="s">
        <v>137</v>
      </c>
      <c r="P26" s="14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140</v>
      </c>
      <c r="B27" s="14">
        <v>13.0</v>
      </c>
      <c r="C27" s="3" t="s">
        <v>142</v>
      </c>
      <c r="E27" s="29" t="s">
        <v>141</v>
      </c>
      <c r="G27" s="3" t="s">
        <v>143</v>
      </c>
      <c r="I27" s="3" t="s">
        <v>144</v>
      </c>
      <c r="K27" s="3" t="s">
        <v>146</v>
      </c>
      <c r="M27" s="3" t="s">
        <v>147</v>
      </c>
      <c r="O27" s="3" t="s">
        <v>145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C28" s="3"/>
      <c r="E28" s="3"/>
      <c r="G28" s="3"/>
      <c r="I28" s="3"/>
      <c r="K28" s="3"/>
      <c r="M28" s="3"/>
      <c r="O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148</v>
      </c>
      <c r="C29" s="17" t="s">
        <v>148</v>
      </c>
      <c r="E29" s="17" t="s">
        <v>148</v>
      </c>
      <c r="G29" s="17" t="s">
        <v>148</v>
      </c>
      <c r="I29" s="17" t="s">
        <v>148</v>
      </c>
      <c r="K29" s="17" t="s">
        <v>148</v>
      </c>
      <c r="M29" s="17" t="s">
        <v>148</v>
      </c>
      <c r="O29" s="17" t="s">
        <v>148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3" t="s">
        <v>149</v>
      </c>
      <c r="B30" s="14"/>
      <c r="C30" s="28" t="s">
        <v>151</v>
      </c>
      <c r="D30" s="14">
        <v>2.0</v>
      </c>
      <c r="E30" s="3" t="s">
        <v>150</v>
      </c>
      <c r="F30" s="14"/>
      <c r="G30" s="3" t="s">
        <v>152</v>
      </c>
      <c r="H30" s="14"/>
      <c r="I30" s="19" t="s">
        <v>153</v>
      </c>
      <c r="J30" s="14">
        <v>5.0</v>
      </c>
      <c r="K30" s="19" t="s">
        <v>155</v>
      </c>
      <c r="L30" s="14">
        <v>7.0</v>
      </c>
      <c r="M30" s="19" t="s">
        <v>156</v>
      </c>
      <c r="N30" s="14">
        <v>3.0</v>
      </c>
      <c r="O30" s="3" t="s">
        <v>154</v>
      </c>
      <c r="P30" s="14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157</v>
      </c>
      <c r="B31" s="14">
        <v>2.0</v>
      </c>
      <c r="C31" s="29" t="s">
        <v>159</v>
      </c>
      <c r="D31" s="30"/>
      <c r="E31" s="19" t="s">
        <v>158</v>
      </c>
      <c r="F31" s="14">
        <v>3.0</v>
      </c>
      <c r="G31" s="19" t="s">
        <v>160</v>
      </c>
      <c r="H31" s="14">
        <v>15.0</v>
      </c>
      <c r="I31" s="3" t="s">
        <v>161</v>
      </c>
      <c r="J31" s="14"/>
      <c r="K31" s="3" t="s">
        <v>163</v>
      </c>
      <c r="L31" s="14"/>
      <c r="M31" s="3" t="s">
        <v>164</v>
      </c>
      <c r="N31" s="14"/>
      <c r="O31" s="19" t="s">
        <v>162</v>
      </c>
      <c r="P31" s="14">
        <v>3.0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165</v>
      </c>
      <c r="B33" s="17"/>
      <c r="C33" s="17" t="s">
        <v>165</v>
      </c>
      <c r="D33" s="17"/>
      <c r="E33" s="17" t="s">
        <v>165</v>
      </c>
      <c r="F33" s="17"/>
      <c r="G33" s="17" t="s">
        <v>165</v>
      </c>
      <c r="H33" s="17"/>
      <c r="I33" s="17" t="s">
        <v>165</v>
      </c>
      <c r="J33" s="17"/>
      <c r="K33" s="17" t="s">
        <v>165</v>
      </c>
      <c r="L33" s="17"/>
      <c r="M33" s="17" t="s">
        <v>165</v>
      </c>
      <c r="N33" s="17"/>
      <c r="O33" s="17" t="s">
        <v>165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3" t="s">
        <v>166</v>
      </c>
      <c r="B34" s="14"/>
      <c r="C34" s="3" t="s">
        <v>168</v>
      </c>
      <c r="D34" s="14"/>
      <c r="E34" s="3" t="s">
        <v>167</v>
      </c>
      <c r="F34" s="14"/>
      <c r="G34" s="3" t="s">
        <v>169</v>
      </c>
      <c r="H34" s="14"/>
      <c r="I34" s="19" t="s">
        <v>170</v>
      </c>
      <c r="J34" s="14">
        <v>7.0</v>
      </c>
      <c r="K34" s="3" t="s">
        <v>172</v>
      </c>
      <c r="L34" s="14"/>
      <c r="M34" s="19" t="s">
        <v>173</v>
      </c>
      <c r="N34" s="14">
        <v>3.0</v>
      </c>
      <c r="O34" s="19" t="s">
        <v>171</v>
      </c>
      <c r="P34" s="14">
        <v>13.0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9" t="s">
        <v>174</v>
      </c>
      <c r="B35" s="14">
        <v>13.0</v>
      </c>
      <c r="C35" s="19" t="s">
        <v>176</v>
      </c>
      <c r="D35" s="14">
        <v>4.0</v>
      </c>
      <c r="E35" s="19" t="s">
        <v>175</v>
      </c>
      <c r="F35" s="14">
        <v>7.0</v>
      </c>
      <c r="G35" s="19" t="s">
        <v>177</v>
      </c>
      <c r="H35" s="14">
        <v>-3.0</v>
      </c>
      <c r="I35" s="3" t="s">
        <v>178</v>
      </c>
      <c r="J35" s="3"/>
      <c r="K35" s="19" t="s">
        <v>180</v>
      </c>
      <c r="L35" s="14">
        <v>10.0</v>
      </c>
      <c r="M35" s="3" t="s">
        <v>181</v>
      </c>
      <c r="N35" s="3"/>
      <c r="O35" s="3" t="s">
        <v>179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D36" s="3"/>
      <c r="E36" s="3"/>
      <c r="F36" s="3"/>
      <c r="G36" s="3"/>
      <c r="H36" s="3"/>
      <c r="I36" s="3"/>
      <c r="J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182</v>
      </c>
      <c r="B37" s="17"/>
      <c r="C37" s="17" t="s">
        <v>182</v>
      </c>
      <c r="D37" s="17"/>
      <c r="E37" s="17" t="s">
        <v>182</v>
      </c>
      <c r="F37" s="17"/>
      <c r="G37" s="17" t="s">
        <v>182</v>
      </c>
      <c r="H37" s="17"/>
      <c r="I37" s="17" t="s">
        <v>182</v>
      </c>
      <c r="J37" s="17"/>
      <c r="K37" s="17" t="s">
        <v>182</v>
      </c>
      <c r="L37" s="17"/>
      <c r="M37" s="17" t="s">
        <v>182</v>
      </c>
      <c r="N37" s="17"/>
      <c r="O37" s="17" t="s">
        <v>182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3" t="s">
        <v>183</v>
      </c>
      <c r="B38" s="14"/>
      <c r="C38" s="19" t="s">
        <v>185</v>
      </c>
      <c r="D38" s="14">
        <v>-1.0</v>
      </c>
      <c r="E38" s="3" t="s">
        <v>184</v>
      </c>
      <c r="F38" s="14"/>
      <c r="G38" s="3" t="s">
        <v>186</v>
      </c>
      <c r="H38" s="14"/>
      <c r="I38" s="19" t="s">
        <v>187</v>
      </c>
      <c r="J38" s="14">
        <v>-1.0</v>
      </c>
      <c r="K38" s="3" t="s">
        <v>189</v>
      </c>
      <c r="L38" s="14"/>
      <c r="M38" s="19" t="s">
        <v>190</v>
      </c>
      <c r="N38" s="14">
        <v>2.0</v>
      </c>
      <c r="O38" s="19" t="s">
        <v>188</v>
      </c>
      <c r="P38" s="14">
        <v>6.0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 t="s">
        <v>191</v>
      </c>
      <c r="B39" s="14">
        <v>4.0</v>
      </c>
      <c r="C39" s="3" t="s">
        <v>193</v>
      </c>
      <c r="D39" s="14"/>
      <c r="E39" s="19" t="s">
        <v>192</v>
      </c>
      <c r="F39" s="14">
        <v>2.0</v>
      </c>
      <c r="G39" s="19" t="s">
        <v>194</v>
      </c>
      <c r="H39" s="14">
        <v>4.0</v>
      </c>
      <c r="I39" s="3" t="s">
        <v>195</v>
      </c>
      <c r="J39" s="14"/>
      <c r="K39" s="19" t="s">
        <v>197</v>
      </c>
      <c r="L39" s="14">
        <v>4.0</v>
      </c>
      <c r="M39" s="3" t="s">
        <v>198</v>
      </c>
      <c r="N39" s="14"/>
      <c r="O39" s="3" t="s">
        <v>196</v>
      </c>
      <c r="P39" s="14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9">
        <f>SUM(B8:B39)</f>
        <v>123</v>
      </c>
      <c r="C40" s="3"/>
      <c r="D40" s="19">
        <f>SUM(D8:D39)</f>
        <v>84</v>
      </c>
      <c r="E40" s="3"/>
      <c r="F40" s="3">
        <f>SUM(F8:F39)</f>
        <v>76</v>
      </c>
      <c r="G40" s="3"/>
      <c r="H40" s="19">
        <f>SUM(H8:H39)</f>
        <v>89</v>
      </c>
      <c r="I40" s="3"/>
      <c r="J40" s="3">
        <f>SUM(J8:J39)</f>
        <v>36</v>
      </c>
      <c r="K40" s="3"/>
      <c r="L40" s="19">
        <f>SUM(L8:L39)</f>
        <v>151</v>
      </c>
      <c r="M40" s="3"/>
      <c r="N40" s="3">
        <f>SUM(N8:N39)</f>
        <v>75</v>
      </c>
      <c r="O40" s="3"/>
      <c r="P40" s="3">
        <f>SUM(P8:P39)</f>
        <v>64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221</v>
      </c>
      <c r="B42" s="3"/>
      <c r="C42" s="3" t="s">
        <v>221</v>
      </c>
      <c r="D42" s="14"/>
      <c r="E42" s="3" t="s">
        <v>221</v>
      </c>
      <c r="F42" s="3"/>
      <c r="G42" s="3" t="s">
        <v>221</v>
      </c>
      <c r="H42" s="3"/>
      <c r="I42" s="3" t="s">
        <v>221</v>
      </c>
      <c r="J42" s="3"/>
      <c r="K42" s="3" t="s">
        <v>221</v>
      </c>
      <c r="L42" s="14"/>
      <c r="M42" s="3" t="s">
        <v>221</v>
      </c>
      <c r="N42" s="3"/>
      <c r="O42" s="3" t="s">
        <v>221</v>
      </c>
      <c r="P42" s="14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 t="s">
        <v>148</v>
      </c>
      <c r="C43" s="17" t="s">
        <v>32</v>
      </c>
      <c r="D43" s="17"/>
      <c r="E43" s="17" t="s">
        <v>32</v>
      </c>
      <c r="F43" s="17"/>
      <c r="G43" s="17" t="s">
        <v>57</v>
      </c>
      <c r="H43" s="17"/>
      <c r="I43" s="17" t="s">
        <v>90</v>
      </c>
      <c r="J43" s="17"/>
      <c r="K43" s="17" t="s">
        <v>90</v>
      </c>
      <c r="L43" s="17"/>
      <c r="M43" s="17" t="s">
        <v>32</v>
      </c>
      <c r="N43" s="17"/>
      <c r="O43" s="17" t="s">
        <v>32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" t="s">
        <v>222</v>
      </c>
      <c r="C44" s="3" t="s">
        <v>51</v>
      </c>
      <c r="D44" s="3"/>
      <c r="E44" s="3" t="s">
        <v>227</v>
      </c>
      <c r="F44" s="3"/>
      <c r="G44" s="3" t="s">
        <v>85</v>
      </c>
      <c r="H44" s="3"/>
      <c r="I44" s="3" t="s">
        <v>225</v>
      </c>
      <c r="J44" s="3"/>
      <c r="K44" s="3" t="s">
        <v>226</v>
      </c>
      <c r="L44" s="3"/>
      <c r="M44" s="3" t="s">
        <v>224</v>
      </c>
      <c r="N44" s="3"/>
      <c r="O44" s="3" t="s">
        <v>223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/>
      <c r="C45" s="17" t="s">
        <v>123</v>
      </c>
      <c r="D45" s="17"/>
      <c r="E45" s="17" t="s">
        <v>57</v>
      </c>
      <c r="F45" s="17"/>
      <c r="G45" s="17" t="s">
        <v>90</v>
      </c>
      <c r="H45" s="17"/>
      <c r="I45" s="17" t="s">
        <v>123</v>
      </c>
      <c r="J45" s="17"/>
      <c r="K45" s="17"/>
      <c r="L45" s="17"/>
      <c r="M45" s="17" t="s">
        <v>57</v>
      </c>
      <c r="N45" s="17"/>
      <c r="O45" s="17" t="s">
        <v>57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C46" s="3" t="s">
        <v>134</v>
      </c>
      <c r="D46" s="3"/>
      <c r="E46" s="3" t="s">
        <v>231</v>
      </c>
      <c r="F46" s="3"/>
      <c r="G46" s="3" t="s">
        <v>118</v>
      </c>
      <c r="H46" s="3"/>
      <c r="I46" s="3" t="s">
        <v>230</v>
      </c>
      <c r="J46" s="3"/>
      <c r="K46" s="3"/>
      <c r="L46" s="3"/>
      <c r="M46" s="3" t="s">
        <v>89</v>
      </c>
      <c r="N46" s="3"/>
      <c r="O46" s="3" t="s">
        <v>228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17"/>
      <c r="D47" s="17"/>
      <c r="E47" s="17" t="s">
        <v>90</v>
      </c>
      <c r="F47" s="17"/>
      <c r="G47" s="17" t="s">
        <v>123</v>
      </c>
      <c r="H47" s="17"/>
      <c r="I47" s="17" t="s">
        <v>182</v>
      </c>
      <c r="J47" s="17"/>
      <c r="K47" s="17"/>
      <c r="L47" s="17"/>
      <c r="M47" s="17" t="s">
        <v>90</v>
      </c>
      <c r="N47" s="17"/>
      <c r="O47" s="17" t="s">
        <v>90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B48" s="3"/>
      <c r="D48" s="3"/>
      <c r="E48" s="3" t="s">
        <v>236</v>
      </c>
      <c r="F48" s="3"/>
      <c r="G48" s="3" t="s">
        <v>235</v>
      </c>
      <c r="H48" s="3"/>
      <c r="I48" s="3" t="s">
        <v>234</v>
      </c>
      <c r="J48" s="3"/>
      <c r="K48" s="3"/>
      <c r="L48" s="3"/>
      <c r="M48" s="3" t="s">
        <v>229</v>
      </c>
      <c r="N48" s="3"/>
      <c r="O48" s="3" t="s">
        <v>232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17"/>
      <c r="D49" s="17"/>
      <c r="E49" s="17" t="s">
        <v>123</v>
      </c>
      <c r="F49" s="17"/>
      <c r="G49" s="17" t="s">
        <v>165</v>
      </c>
      <c r="H49" s="17"/>
      <c r="J49" s="17"/>
      <c r="K49" s="17"/>
      <c r="L49" s="17"/>
      <c r="M49" s="17" t="s">
        <v>123</v>
      </c>
      <c r="N49" s="17"/>
      <c r="O49" s="17" t="s">
        <v>123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"/>
      <c r="B50" s="3"/>
      <c r="D50" s="3"/>
      <c r="E50" s="3" t="s">
        <v>239</v>
      </c>
      <c r="F50" s="3"/>
      <c r="G50" s="3" t="s">
        <v>238</v>
      </c>
      <c r="H50" s="3"/>
      <c r="J50" s="3"/>
      <c r="K50" s="3"/>
      <c r="L50" s="3"/>
      <c r="M50" s="3" t="s">
        <v>233</v>
      </c>
      <c r="N50" s="3"/>
      <c r="O50" s="3" t="s">
        <v>237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1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3.13"/>
    <col customWidth="1" min="5" max="5" width="13.38"/>
    <col customWidth="1" min="7" max="7" width="14.25"/>
    <col customWidth="1" min="9" max="9" width="12.38"/>
    <col customWidth="1" min="11" max="11" width="13.75"/>
    <col customWidth="1" min="13" max="13" width="16.13"/>
    <col customWidth="1" min="15" max="15" width="14.13"/>
    <col customWidth="1" min="18" max="18" width="14.38"/>
  </cols>
  <sheetData>
    <row r="1">
      <c r="A1" s="1" t="s">
        <v>250</v>
      </c>
      <c r="B1" s="2" t="s">
        <v>251</v>
      </c>
      <c r="C1" s="3"/>
      <c r="D1" s="26" t="s">
        <v>208</v>
      </c>
      <c r="E1" s="3"/>
      <c r="F1" s="6" t="s">
        <v>3</v>
      </c>
      <c r="G1" s="3"/>
      <c r="H1" s="7" t="s">
        <v>4</v>
      </c>
      <c r="I1" s="3"/>
      <c r="J1" s="8" t="s">
        <v>5</v>
      </c>
      <c r="K1" s="3"/>
      <c r="L1" s="9" t="s">
        <v>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7</v>
      </c>
      <c r="B3" s="3"/>
      <c r="C3" s="11" t="s">
        <v>252</v>
      </c>
      <c r="D3" s="3"/>
      <c r="E3" s="12" t="s">
        <v>8</v>
      </c>
      <c r="F3" s="3"/>
      <c r="G3" s="11" t="s">
        <v>248</v>
      </c>
      <c r="H3" s="3"/>
      <c r="I3" s="11" t="s">
        <v>11</v>
      </c>
      <c r="J3" s="3"/>
      <c r="K3" s="11" t="s">
        <v>12</v>
      </c>
      <c r="L3" s="3"/>
      <c r="M3" s="13" t="s">
        <v>249</v>
      </c>
      <c r="N3" s="3"/>
      <c r="O3" s="11" t="s">
        <v>253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15</v>
      </c>
      <c r="B4" s="14"/>
      <c r="C4" s="3" t="s">
        <v>18</v>
      </c>
      <c r="D4" s="3"/>
      <c r="E4" s="3" t="s">
        <v>16</v>
      </c>
      <c r="F4" s="3"/>
      <c r="G4" s="15" t="s">
        <v>17</v>
      </c>
      <c r="H4" s="3"/>
      <c r="I4" s="3" t="s">
        <v>19</v>
      </c>
      <c r="J4" s="3"/>
      <c r="K4" s="3" t="s">
        <v>20</v>
      </c>
      <c r="L4" s="3"/>
      <c r="M4" s="3" t="s">
        <v>22</v>
      </c>
      <c r="N4" s="3"/>
      <c r="O4" s="3" t="s">
        <v>21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23</v>
      </c>
      <c r="B5" s="3"/>
      <c r="C5" s="14" t="s">
        <v>26</v>
      </c>
      <c r="D5" s="3"/>
      <c r="E5" s="14" t="s">
        <v>24</v>
      </c>
      <c r="F5" s="3"/>
      <c r="G5" s="14" t="s">
        <v>25</v>
      </c>
      <c r="H5" s="3"/>
      <c r="I5" s="14" t="s">
        <v>27</v>
      </c>
      <c r="J5" s="3"/>
      <c r="K5" s="14" t="s">
        <v>28</v>
      </c>
      <c r="L5" s="3"/>
      <c r="M5" s="14" t="s">
        <v>30</v>
      </c>
      <c r="N5" s="3"/>
      <c r="O5" s="14" t="s">
        <v>29</v>
      </c>
      <c r="P5" s="3"/>
      <c r="Q5" s="3"/>
      <c r="R5" s="14"/>
      <c r="S5" s="3"/>
      <c r="T5" s="3"/>
      <c r="U5" s="3"/>
      <c r="V5" s="3"/>
      <c r="W5" s="3"/>
      <c r="X5" s="3"/>
      <c r="Y5" s="3"/>
      <c r="Z5" s="3"/>
    </row>
    <row r="6">
      <c r="A6" s="3"/>
      <c r="B6" s="16" t="s">
        <v>31</v>
      </c>
      <c r="C6" s="3"/>
      <c r="D6" s="16" t="s">
        <v>31</v>
      </c>
      <c r="E6" s="3"/>
      <c r="F6" s="16" t="s">
        <v>31</v>
      </c>
      <c r="G6" s="3"/>
      <c r="H6" s="16" t="s">
        <v>31</v>
      </c>
      <c r="I6" s="3"/>
      <c r="J6" s="16" t="s">
        <v>31</v>
      </c>
      <c r="K6" s="3"/>
      <c r="L6" s="16" t="s">
        <v>31</v>
      </c>
      <c r="M6" s="3"/>
      <c r="N6" s="16" t="s">
        <v>31</v>
      </c>
      <c r="O6" s="3"/>
      <c r="P6" s="16" t="s">
        <v>31</v>
      </c>
      <c r="Q6" s="3"/>
      <c r="R6" s="14"/>
      <c r="S6" s="3"/>
      <c r="T6" s="3"/>
      <c r="U6" s="3"/>
      <c r="V6" s="3"/>
      <c r="W6" s="3"/>
      <c r="X6" s="3"/>
      <c r="Y6" s="3"/>
      <c r="Z6" s="3"/>
    </row>
    <row r="7">
      <c r="A7" s="17" t="s">
        <v>32</v>
      </c>
      <c r="B7" s="17"/>
      <c r="C7" s="17" t="s">
        <v>32</v>
      </c>
      <c r="D7" s="17"/>
      <c r="E7" s="17" t="s">
        <v>32</v>
      </c>
      <c r="F7" s="17"/>
      <c r="G7" s="17" t="s">
        <v>32</v>
      </c>
      <c r="H7" s="17"/>
      <c r="I7" s="17" t="s">
        <v>32</v>
      </c>
      <c r="J7" s="17"/>
      <c r="K7" s="17" t="s">
        <v>32</v>
      </c>
      <c r="L7" s="17"/>
      <c r="M7" s="17" t="s">
        <v>32</v>
      </c>
      <c r="N7" s="17"/>
      <c r="O7" s="17" t="s">
        <v>32</v>
      </c>
      <c r="P7" s="17"/>
      <c r="Q7" s="17"/>
      <c r="R7" s="14"/>
      <c r="S7" s="17"/>
      <c r="T7" s="17"/>
      <c r="U7" s="17"/>
      <c r="V7" s="17"/>
      <c r="W7" s="17"/>
      <c r="X7" s="17"/>
      <c r="Y7" s="17"/>
      <c r="Z7" s="17"/>
    </row>
    <row r="8">
      <c r="A8" s="28" t="s">
        <v>33</v>
      </c>
      <c r="B8" s="14">
        <v>24.0</v>
      </c>
      <c r="C8" s="19" t="s">
        <v>36</v>
      </c>
      <c r="D8" s="14">
        <v>34.0</v>
      </c>
      <c r="E8" s="19" t="s">
        <v>34</v>
      </c>
      <c r="F8" s="14">
        <v>23.0</v>
      </c>
      <c r="G8" s="3" t="s">
        <v>35</v>
      </c>
      <c r="H8" s="14"/>
      <c r="I8" s="19" t="s">
        <v>37</v>
      </c>
      <c r="J8" s="14">
        <v>16.0</v>
      </c>
      <c r="K8" s="3" t="s">
        <v>38</v>
      </c>
      <c r="L8" s="14"/>
      <c r="M8" s="3" t="s">
        <v>40</v>
      </c>
      <c r="N8" s="14"/>
      <c r="O8" s="19" t="s">
        <v>39</v>
      </c>
      <c r="P8" s="14">
        <v>16.0</v>
      </c>
      <c r="Q8" s="3"/>
      <c r="R8" s="14"/>
      <c r="S8" s="3"/>
      <c r="T8" s="3"/>
      <c r="U8" s="3"/>
      <c r="V8" s="3"/>
      <c r="W8" s="3"/>
      <c r="X8" s="3"/>
      <c r="Y8" s="3"/>
      <c r="Z8" s="3"/>
    </row>
    <row r="9">
      <c r="A9" s="29" t="s">
        <v>41</v>
      </c>
      <c r="C9" s="3" t="s">
        <v>44</v>
      </c>
      <c r="E9" s="3" t="s">
        <v>42</v>
      </c>
      <c r="G9" s="19" t="s">
        <v>43</v>
      </c>
      <c r="H9" s="14">
        <v>25.0</v>
      </c>
      <c r="I9" s="3" t="s">
        <v>45</v>
      </c>
      <c r="J9" s="23"/>
      <c r="K9" s="19" t="s">
        <v>46</v>
      </c>
      <c r="L9" s="14">
        <v>6.0</v>
      </c>
      <c r="M9" s="19" t="s">
        <v>48</v>
      </c>
      <c r="N9" s="14">
        <v>33.0</v>
      </c>
      <c r="O9" s="3" t="s">
        <v>47</v>
      </c>
      <c r="Q9" s="3"/>
      <c r="R9" s="14"/>
      <c r="S9" s="3"/>
      <c r="T9" s="3"/>
      <c r="U9" s="3"/>
      <c r="V9" s="3"/>
      <c r="W9" s="3"/>
      <c r="X9" s="3"/>
      <c r="Y9" s="3"/>
      <c r="Z9" s="3"/>
    </row>
    <row r="10">
      <c r="A10" s="3" t="s">
        <v>49</v>
      </c>
      <c r="B10" s="3"/>
      <c r="C10" s="3" t="s">
        <v>52</v>
      </c>
      <c r="D10" s="3"/>
      <c r="E10" s="3" t="s">
        <v>50</v>
      </c>
      <c r="F10" s="3"/>
      <c r="G10" s="3" t="s">
        <v>242</v>
      </c>
      <c r="H10" s="3"/>
      <c r="I10" s="3" t="s">
        <v>254</v>
      </c>
      <c r="J10" s="3"/>
      <c r="K10" s="3" t="s">
        <v>54</v>
      </c>
      <c r="L10" s="3"/>
      <c r="M10" s="3" t="s">
        <v>56</v>
      </c>
      <c r="N10" s="3"/>
      <c r="O10" s="3" t="s">
        <v>55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C11" s="3"/>
      <c r="E11" s="3"/>
      <c r="G11" s="3"/>
      <c r="I11" s="3"/>
      <c r="K11" s="3"/>
      <c r="M11" s="3"/>
      <c r="O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57</v>
      </c>
      <c r="B12" s="17"/>
      <c r="C12" s="17" t="s">
        <v>57</v>
      </c>
      <c r="D12" s="17"/>
      <c r="E12" s="17" t="s">
        <v>57</v>
      </c>
      <c r="F12" s="17"/>
      <c r="G12" s="17" t="s">
        <v>57</v>
      </c>
      <c r="H12" s="17"/>
      <c r="I12" s="17" t="s">
        <v>57</v>
      </c>
      <c r="J12" s="17"/>
      <c r="K12" s="17" t="s">
        <v>57</v>
      </c>
      <c r="L12" s="17"/>
      <c r="M12" s="17" t="s">
        <v>57</v>
      </c>
      <c r="N12" s="17"/>
      <c r="O12" s="17" t="s">
        <v>57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 t="s">
        <v>58</v>
      </c>
      <c r="B13" s="14">
        <v>19.0</v>
      </c>
      <c r="C13" s="19" t="s">
        <v>61</v>
      </c>
      <c r="D13" s="14">
        <v>9.0</v>
      </c>
      <c r="E13" s="19" t="s">
        <v>59</v>
      </c>
      <c r="F13" s="14">
        <v>11.0</v>
      </c>
      <c r="G13" s="29" t="s">
        <v>60</v>
      </c>
      <c r="H13" s="14"/>
      <c r="I13" s="19" t="s">
        <v>62</v>
      </c>
      <c r="J13" s="14">
        <v>11.0</v>
      </c>
      <c r="K13" s="22" t="s">
        <v>63</v>
      </c>
      <c r="L13" s="14">
        <v>7.0</v>
      </c>
      <c r="M13" s="29" t="s">
        <v>65</v>
      </c>
      <c r="N13" s="14"/>
      <c r="O13" s="19" t="s">
        <v>64</v>
      </c>
      <c r="P13" s="14">
        <v>19.0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 t="s">
        <v>66</v>
      </c>
      <c r="B14" s="14">
        <v>17.0</v>
      </c>
      <c r="C14" s="3" t="s">
        <v>69</v>
      </c>
      <c r="E14" s="3" t="s">
        <v>67</v>
      </c>
      <c r="G14" s="19" t="s">
        <v>68</v>
      </c>
      <c r="H14" s="14">
        <v>10.0</v>
      </c>
      <c r="I14" s="19" t="s">
        <v>70</v>
      </c>
      <c r="J14" s="14">
        <v>12.0</v>
      </c>
      <c r="K14" s="19" t="s">
        <v>71</v>
      </c>
      <c r="L14" s="14">
        <v>0.0</v>
      </c>
      <c r="M14" s="19" t="s">
        <v>73</v>
      </c>
      <c r="N14" s="14">
        <v>5.0</v>
      </c>
      <c r="O14" s="19" t="s">
        <v>72</v>
      </c>
      <c r="P14" s="14">
        <v>16.0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74</v>
      </c>
      <c r="B15" s="14"/>
      <c r="C15" s="3" t="s">
        <v>77</v>
      </c>
      <c r="D15" s="14"/>
      <c r="E15" s="3" t="s">
        <v>75</v>
      </c>
      <c r="F15" s="14"/>
      <c r="G15" s="28" t="s">
        <v>76</v>
      </c>
      <c r="H15" s="14">
        <v>9.0</v>
      </c>
      <c r="I15" s="3" t="s">
        <v>78</v>
      </c>
      <c r="J15" s="14"/>
      <c r="K15" s="3" t="s">
        <v>79</v>
      </c>
      <c r="L15" s="14"/>
      <c r="M15" s="28" t="s">
        <v>81</v>
      </c>
      <c r="N15" s="14">
        <v>18.0</v>
      </c>
      <c r="O15" s="3" t="s">
        <v>80</v>
      </c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82</v>
      </c>
      <c r="B16" s="14"/>
      <c r="C16" s="19" t="s">
        <v>214</v>
      </c>
      <c r="D16" s="14">
        <v>0.0</v>
      </c>
      <c r="E16" s="22" t="s">
        <v>83</v>
      </c>
      <c r="F16" s="14">
        <v>11.0</v>
      </c>
      <c r="G16" s="14" t="s">
        <v>84</v>
      </c>
      <c r="H16" s="14"/>
      <c r="I16" s="3" t="s">
        <v>86</v>
      </c>
      <c r="J16" s="14"/>
      <c r="K16" s="3" t="s">
        <v>87</v>
      </c>
      <c r="L16" s="14"/>
      <c r="M16" s="3" t="s">
        <v>243</v>
      </c>
      <c r="N16" s="14"/>
      <c r="O16" s="3" t="s">
        <v>88</v>
      </c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F17" s="3"/>
      <c r="G17" s="3"/>
      <c r="H17" s="3"/>
      <c r="I17" s="3"/>
      <c r="J17" s="3"/>
      <c r="K17" s="3"/>
      <c r="L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90</v>
      </c>
      <c r="B18" s="17"/>
      <c r="C18" s="17" t="s">
        <v>90</v>
      </c>
      <c r="D18" s="17"/>
      <c r="E18" s="17" t="s">
        <v>90</v>
      </c>
      <c r="F18" s="17"/>
      <c r="G18" s="17" t="s">
        <v>90</v>
      </c>
      <c r="H18" s="17"/>
      <c r="I18" s="17" t="s">
        <v>90</v>
      </c>
      <c r="J18" s="17"/>
      <c r="K18" s="17" t="s">
        <v>90</v>
      </c>
      <c r="L18" s="17"/>
      <c r="M18" s="17" t="s">
        <v>90</v>
      </c>
      <c r="N18" s="17"/>
      <c r="O18" s="17" t="s">
        <v>90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28" t="s">
        <v>91</v>
      </c>
      <c r="B19" s="14">
        <v>16.0</v>
      </c>
      <c r="C19" s="19" t="s">
        <v>94</v>
      </c>
      <c r="D19" s="14">
        <v>16.0</v>
      </c>
      <c r="E19" s="19" t="s">
        <v>92</v>
      </c>
      <c r="F19" s="14">
        <v>10.0</v>
      </c>
      <c r="G19" s="19" t="s">
        <v>93</v>
      </c>
      <c r="H19" s="14">
        <v>10.0</v>
      </c>
      <c r="I19" s="3" t="s">
        <v>95</v>
      </c>
      <c r="J19" s="14"/>
      <c r="K19" s="3" t="s">
        <v>96</v>
      </c>
      <c r="L19" s="14"/>
      <c r="M19" s="22" t="s">
        <v>98</v>
      </c>
      <c r="N19" s="14">
        <v>8.0</v>
      </c>
      <c r="O19" s="19" t="s">
        <v>97</v>
      </c>
      <c r="P19" s="14">
        <v>10.0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2" t="s">
        <v>99</v>
      </c>
      <c r="B20" s="14">
        <v>5.0</v>
      </c>
      <c r="C20" s="19" t="s">
        <v>102</v>
      </c>
      <c r="D20" s="14">
        <v>24.0</v>
      </c>
      <c r="E20" s="31" t="s">
        <v>100</v>
      </c>
      <c r="F20" s="14">
        <v>3.0</v>
      </c>
      <c r="G20" s="19" t="s">
        <v>101</v>
      </c>
      <c r="H20" s="14">
        <v>8.0</v>
      </c>
      <c r="I20" s="19" t="s">
        <v>103</v>
      </c>
      <c r="J20" s="14">
        <v>8.0</v>
      </c>
      <c r="K20" s="22" t="s">
        <v>104</v>
      </c>
      <c r="L20" s="14">
        <v>14.0</v>
      </c>
      <c r="M20" s="19" t="s">
        <v>106</v>
      </c>
      <c r="N20" s="14">
        <v>9.0</v>
      </c>
      <c r="O20" s="3" t="s">
        <v>113</v>
      </c>
      <c r="P20" s="14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9" t="s">
        <v>107</v>
      </c>
      <c r="B21" s="14"/>
      <c r="C21" s="3" t="s">
        <v>110</v>
      </c>
      <c r="D21" s="14"/>
      <c r="E21" s="3" t="s">
        <v>108</v>
      </c>
      <c r="F21" s="14"/>
      <c r="G21" s="23" t="s">
        <v>109</v>
      </c>
      <c r="H21" s="14"/>
      <c r="I21" s="19" t="s">
        <v>111</v>
      </c>
      <c r="J21" s="14">
        <v>2.0</v>
      </c>
      <c r="K21" s="19" t="s">
        <v>112</v>
      </c>
      <c r="L21" s="14">
        <v>12.0</v>
      </c>
      <c r="M21" s="3" t="s">
        <v>114</v>
      </c>
      <c r="N21" s="14"/>
      <c r="O21" s="19" t="s">
        <v>105</v>
      </c>
      <c r="P21" s="14">
        <v>18.0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115</v>
      </c>
      <c r="C22" s="3" t="s">
        <v>218</v>
      </c>
      <c r="E22" s="3" t="s">
        <v>116</v>
      </c>
      <c r="G22" s="3" t="s">
        <v>117</v>
      </c>
      <c r="I22" s="3" t="s">
        <v>119</v>
      </c>
      <c r="K22" s="14" t="s">
        <v>120</v>
      </c>
      <c r="M22" s="3" t="s">
        <v>122</v>
      </c>
      <c r="O22" s="3" t="s">
        <v>121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C23" s="3"/>
      <c r="E23" s="3"/>
      <c r="G23" s="3"/>
      <c r="I23" s="3"/>
      <c r="K23" s="3"/>
      <c r="M23" s="3"/>
      <c r="O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 t="s">
        <v>123</v>
      </c>
      <c r="B24" s="17"/>
      <c r="C24" s="17" t="s">
        <v>123</v>
      </c>
      <c r="D24" s="17"/>
      <c r="E24" s="17" t="s">
        <v>123</v>
      </c>
      <c r="F24" s="17"/>
      <c r="G24" s="17" t="s">
        <v>123</v>
      </c>
      <c r="H24" s="17"/>
      <c r="I24" s="17" t="s">
        <v>123</v>
      </c>
      <c r="J24" s="17"/>
      <c r="K24" s="17" t="s">
        <v>123</v>
      </c>
      <c r="L24" s="17"/>
      <c r="M24" s="17" t="s">
        <v>123</v>
      </c>
      <c r="N24" s="17"/>
      <c r="O24" s="17" t="s">
        <v>123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9" t="s">
        <v>124</v>
      </c>
      <c r="B25" s="14">
        <v>15.0</v>
      </c>
      <c r="C25" s="3" t="s">
        <v>127</v>
      </c>
      <c r="D25" s="14"/>
      <c r="E25" s="3" t="s">
        <v>125</v>
      </c>
      <c r="F25" s="14"/>
      <c r="G25" s="28" t="s">
        <v>126</v>
      </c>
      <c r="H25" s="14">
        <v>18.0</v>
      </c>
      <c r="I25" s="19" t="s">
        <v>128</v>
      </c>
      <c r="J25" s="14">
        <v>0.0</v>
      </c>
      <c r="K25" s="19" t="s">
        <v>129</v>
      </c>
      <c r="L25" s="14">
        <v>10.0</v>
      </c>
      <c r="M25" s="19" t="s">
        <v>131</v>
      </c>
      <c r="N25" s="14">
        <v>14.0</v>
      </c>
      <c r="O25" s="3" t="s">
        <v>130</v>
      </c>
      <c r="P25" s="14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132</v>
      </c>
      <c r="B26" s="14"/>
      <c r="C26" s="19" t="s">
        <v>135</v>
      </c>
      <c r="D26" s="14">
        <v>6.0</v>
      </c>
      <c r="E26" s="19" t="s">
        <v>133</v>
      </c>
      <c r="F26" s="14">
        <v>9.0</v>
      </c>
      <c r="G26" s="3" t="s">
        <v>244</v>
      </c>
      <c r="H26" s="14"/>
      <c r="I26" s="3" t="s">
        <v>136</v>
      </c>
      <c r="J26" s="14"/>
      <c r="K26" s="3" t="s">
        <v>137</v>
      </c>
      <c r="L26" s="14"/>
      <c r="M26" s="3" t="s">
        <v>139</v>
      </c>
      <c r="N26" s="14"/>
      <c r="O26" s="19" t="s">
        <v>138</v>
      </c>
      <c r="P26" s="14">
        <v>2.0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140</v>
      </c>
      <c r="C27" s="3" t="s">
        <v>143</v>
      </c>
      <c r="E27" s="3" t="s">
        <v>141</v>
      </c>
      <c r="G27" s="29" t="s">
        <v>142</v>
      </c>
      <c r="I27" s="3" t="s">
        <v>144</v>
      </c>
      <c r="K27" s="3" t="s">
        <v>145</v>
      </c>
      <c r="M27" s="3" t="s">
        <v>147</v>
      </c>
      <c r="O27" s="3" t="s">
        <v>146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C28" s="3"/>
      <c r="E28" s="3"/>
      <c r="G28" s="3"/>
      <c r="I28" s="3"/>
      <c r="K28" s="3"/>
      <c r="M28" s="3"/>
      <c r="O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148</v>
      </c>
      <c r="C29" s="17" t="s">
        <v>148</v>
      </c>
      <c r="E29" s="17" t="s">
        <v>148</v>
      </c>
      <c r="G29" s="17" t="s">
        <v>148</v>
      </c>
      <c r="I29" s="17" t="s">
        <v>148</v>
      </c>
      <c r="K29" s="17" t="s">
        <v>148</v>
      </c>
      <c r="M29" s="17" t="s">
        <v>148</v>
      </c>
      <c r="O29" s="17" t="s">
        <v>148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3" t="s">
        <v>149</v>
      </c>
      <c r="B30" s="14"/>
      <c r="C30" s="3" t="s">
        <v>152</v>
      </c>
      <c r="D30" s="14"/>
      <c r="E30" s="19" t="s">
        <v>150</v>
      </c>
      <c r="F30" s="14">
        <v>6.0</v>
      </c>
      <c r="G30" s="19" t="s">
        <v>151</v>
      </c>
      <c r="H30" s="14">
        <v>5.0</v>
      </c>
      <c r="I30" s="19" t="s">
        <v>153</v>
      </c>
      <c r="J30" s="14">
        <v>5.0</v>
      </c>
      <c r="K30" s="3" t="s">
        <v>154</v>
      </c>
      <c r="L30" s="14"/>
      <c r="M30" s="19" t="s">
        <v>156</v>
      </c>
      <c r="N30" s="14">
        <v>-2.0</v>
      </c>
      <c r="O30" s="19" t="s">
        <v>155</v>
      </c>
      <c r="P30" s="14">
        <v>4.0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157</v>
      </c>
      <c r="B31" s="14">
        <v>9.0</v>
      </c>
      <c r="C31" s="19" t="s">
        <v>160</v>
      </c>
      <c r="D31" s="14">
        <v>9.0</v>
      </c>
      <c r="E31" s="3" t="s">
        <v>158</v>
      </c>
      <c r="F31" s="17"/>
      <c r="G31" s="3" t="s">
        <v>159</v>
      </c>
      <c r="H31" s="17"/>
      <c r="I31" s="3" t="s">
        <v>161</v>
      </c>
      <c r="J31" s="17"/>
      <c r="K31" s="19" t="s">
        <v>162</v>
      </c>
      <c r="L31" s="14">
        <v>3.0</v>
      </c>
      <c r="M31" s="3" t="s">
        <v>164</v>
      </c>
      <c r="N31" s="17"/>
      <c r="O31" s="3" t="s">
        <v>163</v>
      </c>
      <c r="P31" s="17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165</v>
      </c>
      <c r="B33" s="17"/>
      <c r="C33" s="17" t="s">
        <v>165</v>
      </c>
      <c r="D33" s="17"/>
      <c r="E33" s="17" t="s">
        <v>165</v>
      </c>
      <c r="F33" s="17"/>
      <c r="G33" s="17" t="s">
        <v>165</v>
      </c>
      <c r="H33" s="17"/>
      <c r="I33" s="17" t="s">
        <v>165</v>
      </c>
      <c r="J33" s="17"/>
      <c r="K33" s="17" t="s">
        <v>165</v>
      </c>
      <c r="L33" s="17"/>
      <c r="M33" s="17" t="s">
        <v>165</v>
      </c>
      <c r="N33" s="17"/>
      <c r="O33" s="17" t="s">
        <v>165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9" t="s">
        <v>166</v>
      </c>
      <c r="B34" s="14">
        <v>16.0</v>
      </c>
      <c r="C34" s="19" t="s">
        <v>169</v>
      </c>
      <c r="D34" s="14">
        <v>2.0</v>
      </c>
      <c r="E34" s="3" t="s">
        <v>167</v>
      </c>
      <c r="F34" s="14"/>
      <c r="G34" s="19" t="s">
        <v>168</v>
      </c>
      <c r="H34" s="14">
        <v>7.0</v>
      </c>
      <c r="I34" s="3" t="s">
        <v>170</v>
      </c>
      <c r="J34" s="14"/>
      <c r="K34" s="19" t="s">
        <v>171</v>
      </c>
      <c r="L34" s="14">
        <v>4.0</v>
      </c>
      <c r="M34" s="19" t="s">
        <v>173</v>
      </c>
      <c r="N34" s="14">
        <v>10.0</v>
      </c>
      <c r="O34" s="19" t="s">
        <v>172</v>
      </c>
      <c r="P34" s="14">
        <v>0.0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255</v>
      </c>
      <c r="B35" s="3"/>
      <c r="C35" s="3" t="s">
        <v>177</v>
      </c>
      <c r="D35" s="3"/>
      <c r="E35" s="19" t="s">
        <v>175</v>
      </c>
      <c r="F35" s="14">
        <v>1.0</v>
      </c>
      <c r="G35" s="3" t="s">
        <v>176</v>
      </c>
      <c r="H35" s="3"/>
      <c r="I35" s="19" t="s">
        <v>178</v>
      </c>
      <c r="J35" s="14">
        <v>5.0</v>
      </c>
      <c r="K35" s="3" t="s">
        <v>179</v>
      </c>
      <c r="L35" s="3"/>
      <c r="M35" s="3" t="s">
        <v>181</v>
      </c>
      <c r="N35" s="3"/>
      <c r="O35" s="3" t="s">
        <v>180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H36" s="3"/>
      <c r="I36" s="3"/>
      <c r="J36" s="3"/>
      <c r="K36" s="3"/>
      <c r="L36" s="3"/>
      <c r="M36" s="3"/>
      <c r="N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182</v>
      </c>
      <c r="B37" s="17"/>
      <c r="C37" s="17" t="s">
        <v>182</v>
      </c>
      <c r="D37" s="17"/>
      <c r="E37" s="17" t="s">
        <v>182</v>
      </c>
      <c r="F37" s="17"/>
      <c r="G37" s="17" t="s">
        <v>182</v>
      </c>
      <c r="H37" s="17"/>
      <c r="I37" s="17" t="s">
        <v>182</v>
      </c>
      <c r="J37" s="17"/>
      <c r="K37" s="17" t="s">
        <v>182</v>
      </c>
      <c r="L37" s="17"/>
      <c r="M37" s="17" t="s">
        <v>182</v>
      </c>
      <c r="N37" s="17"/>
      <c r="O37" s="17" t="s">
        <v>182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8" t="s">
        <v>183</v>
      </c>
      <c r="B38" s="14">
        <v>2.0</v>
      </c>
      <c r="C38" s="19" t="s">
        <v>186</v>
      </c>
      <c r="D38" s="14">
        <v>1.0</v>
      </c>
      <c r="E38" s="3" t="s">
        <v>184</v>
      </c>
      <c r="F38" s="14"/>
      <c r="G38" s="3" t="s">
        <v>185</v>
      </c>
      <c r="H38" s="14"/>
      <c r="I38" s="19" t="s">
        <v>187</v>
      </c>
      <c r="J38" s="14">
        <v>-1.0</v>
      </c>
      <c r="K38" s="19" t="s">
        <v>188</v>
      </c>
      <c r="L38" s="14">
        <v>5.0</v>
      </c>
      <c r="M38" s="19" t="s">
        <v>190</v>
      </c>
      <c r="N38" s="14">
        <v>2.0</v>
      </c>
      <c r="O38" s="3" t="s">
        <v>189</v>
      </c>
      <c r="P38" s="1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9" t="s">
        <v>191</v>
      </c>
      <c r="B39" s="14"/>
      <c r="C39" s="3" t="s">
        <v>194</v>
      </c>
      <c r="D39" s="14"/>
      <c r="E39" s="3" t="s">
        <v>192</v>
      </c>
      <c r="F39" s="14"/>
      <c r="G39" s="19" t="s">
        <v>193</v>
      </c>
      <c r="H39" s="14">
        <v>4.0</v>
      </c>
      <c r="I39" s="3" t="s">
        <v>195</v>
      </c>
      <c r="J39" s="14"/>
      <c r="K39" s="3" t="s">
        <v>196</v>
      </c>
      <c r="L39" s="14"/>
      <c r="M39" s="3" t="s">
        <v>198</v>
      </c>
      <c r="N39" s="14"/>
      <c r="O39" s="19" t="s">
        <v>197</v>
      </c>
      <c r="P39" s="14">
        <v>1.0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>
        <f>SUM(B8:B39)</f>
        <v>123</v>
      </c>
      <c r="C40" s="3"/>
      <c r="D40" s="3">
        <f>SUM(D8:D39)</f>
        <v>101</v>
      </c>
      <c r="E40" s="3"/>
      <c r="F40" s="3">
        <f>SUM(F8:F39)</f>
        <v>74</v>
      </c>
      <c r="G40" s="3"/>
      <c r="H40" s="3">
        <f>SUM(H8:H39)</f>
        <v>96</v>
      </c>
      <c r="I40" s="3"/>
      <c r="J40" s="3">
        <f>SUM(J8:J39)</f>
        <v>58</v>
      </c>
      <c r="K40" s="3"/>
      <c r="L40" s="3">
        <f>SUM(L8:L39)</f>
        <v>61</v>
      </c>
      <c r="M40" s="3"/>
      <c r="N40" s="3">
        <f>SUM(N8:N39)</f>
        <v>97</v>
      </c>
      <c r="O40" s="3"/>
      <c r="P40" s="3">
        <f>SUM(P8:P39)</f>
        <v>86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221</v>
      </c>
      <c r="B42" s="3"/>
      <c r="C42" s="3" t="s">
        <v>221</v>
      </c>
      <c r="D42" s="3"/>
      <c r="E42" s="3" t="s">
        <v>221</v>
      </c>
      <c r="F42" s="3"/>
      <c r="G42" s="3" t="s">
        <v>221</v>
      </c>
      <c r="H42" s="3"/>
      <c r="I42" s="3" t="s">
        <v>221</v>
      </c>
      <c r="J42" s="3"/>
      <c r="K42" s="3" t="s">
        <v>221</v>
      </c>
      <c r="L42" s="3"/>
      <c r="M42" s="3" t="s">
        <v>221</v>
      </c>
      <c r="N42" s="3"/>
      <c r="O42" s="3" t="s">
        <v>221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 t="s">
        <v>148</v>
      </c>
      <c r="C43" s="17" t="s">
        <v>57</v>
      </c>
      <c r="D43" s="17"/>
      <c r="E43" s="17" t="s">
        <v>32</v>
      </c>
      <c r="F43" s="17"/>
      <c r="G43" s="17" t="s">
        <v>32</v>
      </c>
      <c r="H43" s="17"/>
      <c r="I43" s="17" t="s">
        <v>32</v>
      </c>
      <c r="J43" s="17"/>
      <c r="K43" s="17" t="s">
        <v>32</v>
      </c>
      <c r="L43" s="17"/>
      <c r="M43" s="17" t="s">
        <v>32</v>
      </c>
      <c r="N43" s="17"/>
      <c r="O43" s="17" t="s">
        <v>90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" t="s">
        <v>222</v>
      </c>
      <c r="C44" s="3" t="s">
        <v>85</v>
      </c>
      <c r="D44" s="3"/>
      <c r="E44" s="3" t="s">
        <v>227</v>
      </c>
      <c r="F44" s="3"/>
      <c r="G44" s="3" t="s">
        <v>51</v>
      </c>
      <c r="H44" s="3"/>
      <c r="I44" s="3" t="s">
        <v>53</v>
      </c>
      <c r="J44" s="3"/>
      <c r="K44" s="3" t="s">
        <v>223</v>
      </c>
      <c r="L44" s="3"/>
      <c r="M44" s="3" t="s">
        <v>224</v>
      </c>
      <c r="N44" s="3"/>
      <c r="O44" s="3" t="s">
        <v>226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 t="s">
        <v>165</v>
      </c>
      <c r="C45" s="17" t="s">
        <v>90</v>
      </c>
      <c r="D45" s="17"/>
      <c r="E45" s="17" t="s">
        <v>57</v>
      </c>
      <c r="F45" s="17"/>
      <c r="G45" s="17" t="s">
        <v>123</v>
      </c>
      <c r="H45" s="17"/>
      <c r="I45" s="17" t="s">
        <v>90</v>
      </c>
      <c r="J45" s="17"/>
      <c r="K45" s="17" t="s">
        <v>57</v>
      </c>
      <c r="L45" s="17"/>
      <c r="M45" s="17" t="s">
        <v>57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3" t="s">
        <v>174</v>
      </c>
      <c r="C46" s="3" t="s">
        <v>118</v>
      </c>
      <c r="D46" s="3"/>
      <c r="E46" s="3" t="s">
        <v>231</v>
      </c>
      <c r="F46" s="3"/>
      <c r="G46" s="3" t="s">
        <v>134</v>
      </c>
      <c r="H46" s="3"/>
      <c r="I46" s="3" t="s">
        <v>225</v>
      </c>
      <c r="J46" s="3"/>
      <c r="K46" s="3" t="s">
        <v>228</v>
      </c>
      <c r="L46" s="3"/>
      <c r="M46" s="3" t="s">
        <v>89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17"/>
      <c r="C47" s="17" t="s">
        <v>123</v>
      </c>
      <c r="D47" s="17"/>
      <c r="E47" s="17" t="s">
        <v>90</v>
      </c>
      <c r="F47" s="17"/>
      <c r="H47" s="17"/>
      <c r="I47" s="17" t="s">
        <v>123</v>
      </c>
      <c r="J47" s="17"/>
      <c r="K47" s="17" t="s">
        <v>90</v>
      </c>
      <c r="L47" s="17"/>
      <c r="M47" s="17" t="s">
        <v>90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B48" s="3"/>
      <c r="C48" s="3" t="s">
        <v>235</v>
      </c>
      <c r="D48" s="3"/>
      <c r="E48" s="3" t="s">
        <v>236</v>
      </c>
      <c r="F48" s="3"/>
      <c r="H48" s="3"/>
      <c r="I48" s="3" t="s">
        <v>230</v>
      </c>
      <c r="J48" s="3"/>
      <c r="K48" s="3" t="s">
        <v>232</v>
      </c>
      <c r="L48" s="3"/>
      <c r="M48" s="3" t="s">
        <v>229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17"/>
      <c r="C49" s="17" t="s">
        <v>165</v>
      </c>
      <c r="D49" s="17"/>
      <c r="E49" s="17" t="s">
        <v>123</v>
      </c>
      <c r="F49" s="17"/>
      <c r="H49" s="17"/>
      <c r="I49" s="17" t="s">
        <v>182</v>
      </c>
      <c r="J49" s="17"/>
      <c r="K49" s="17" t="s">
        <v>123</v>
      </c>
      <c r="L49" s="17"/>
      <c r="M49" s="17" t="s">
        <v>123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"/>
      <c r="B50" s="3"/>
      <c r="C50" s="3" t="s">
        <v>238</v>
      </c>
      <c r="D50" s="3"/>
      <c r="E50" s="3" t="s">
        <v>239</v>
      </c>
      <c r="F50" s="3"/>
      <c r="H50" s="3"/>
      <c r="I50" s="3" t="s">
        <v>234</v>
      </c>
      <c r="J50" s="3"/>
      <c r="K50" s="3" t="s">
        <v>237</v>
      </c>
      <c r="L50" s="3"/>
      <c r="M50" s="3" t="s">
        <v>233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2.38"/>
    <col customWidth="1" min="5" max="5" width="15.5"/>
    <col customWidth="1" min="7" max="7" width="13.13"/>
    <col customWidth="1" min="9" max="9" width="13.38"/>
    <col customWidth="1" min="11" max="11" width="13.75"/>
    <col customWidth="1" min="13" max="13" width="14.25"/>
    <col customWidth="1" min="15" max="15" width="14.13"/>
    <col customWidth="1" min="18" max="18" width="14.38"/>
  </cols>
  <sheetData>
    <row r="1">
      <c r="A1" s="1" t="s">
        <v>256</v>
      </c>
      <c r="B1" s="2" t="s">
        <v>251</v>
      </c>
      <c r="C1" s="3"/>
      <c r="D1" s="26" t="s">
        <v>208</v>
      </c>
      <c r="E1" s="3"/>
      <c r="F1" s="6" t="s">
        <v>3</v>
      </c>
      <c r="G1" s="3"/>
      <c r="H1" s="7" t="s">
        <v>4</v>
      </c>
      <c r="I1" s="3"/>
      <c r="J1" s="8" t="s">
        <v>5</v>
      </c>
      <c r="K1" s="3"/>
      <c r="L1" s="9" t="s">
        <v>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257</v>
      </c>
      <c r="B3" s="3"/>
      <c r="C3" s="12" t="s">
        <v>258</v>
      </c>
      <c r="D3" s="3"/>
      <c r="E3" s="12" t="s">
        <v>259</v>
      </c>
      <c r="F3" s="3"/>
      <c r="G3" s="11" t="s">
        <v>252</v>
      </c>
      <c r="H3" s="3"/>
      <c r="I3" s="12" t="s">
        <v>8</v>
      </c>
      <c r="J3" s="3"/>
      <c r="K3" s="12" t="s">
        <v>260</v>
      </c>
      <c r="L3" s="3"/>
      <c r="M3" s="11" t="s">
        <v>9</v>
      </c>
      <c r="N3" s="3"/>
      <c r="O3" s="12" t="s">
        <v>261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15</v>
      </c>
      <c r="B4" s="14"/>
      <c r="C4" s="3" t="s">
        <v>19</v>
      </c>
      <c r="D4" s="3"/>
      <c r="E4" s="3" t="s">
        <v>22</v>
      </c>
      <c r="F4" s="3"/>
      <c r="G4" s="3" t="s">
        <v>18</v>
      </c>
      <c r="H4" s="3"/>
      <c r="I4" s="3" t="s">
        <v>16</v>
      </c>
      <c r="J4" s="3"/>
      <c r="K4" s="3" t="s">
        <v>20</v>
      </c>
      <c r="L4" s="3"/>
      <c r="M4" s="15" t="s">
        <v>17</v>
      </c>
      <c r="N4" s="3"/>
      <c r="O4" s="3" t="s">
        <v>21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23</v>
      </c>
      <c r="B5" s="3"/>
      <c r="C5" s="14" t="s">
        <v>27</v>
      </c>
      <c r="D5" s="3"/>
      <c r="E5" s="14" t="s">
        <v>30</v>
      </c>
      <c r="F5" s="3"/>
      <c r="G5" s="14" t="s">
        <v>26</v>
      </c>
      <c r="H5" s="3"/>
      <c r="I5" s="14" t="s">
        <v>24</v>
      </c>
      <c r="J5" s="3"/>
      <c r="K5" s="14" t="s">
        <v>28</v>
      </c>
      <c r="L5" s="3"/>
      <c r="M5" s="14" t="s">
        <v>25</v>
      </c>
      <c r="N5" s="3"/>
      <c r="O5" s="14" t="s">
        <v>29</v>
      </c>
      <c r="P5" s="3"/>
      <c r="Q5" s="3"/>
      <c r="R5" s="14"/>
      <c r="S5" s="3"/>
      <c r="T5" s="3"/>
      <c r="U5" s="3"/>
      <c r="V5" s="3"/>
      <c r="W5" s="3"/>
      <c r="X5" s="3"/>
      <c r="Y5" s="3"/>
      <c r="Z5" s="3"/>
    </row>
    <row r="6">
      <c r="A6" s="3"/>
      <c r="B6" s="16" t="s">
        <v>31</v>
      </c>
      <c r="C6" s="3"/>
      <c r="D6" s="16" t="s">
        <v>31</v>
      </c>
      <c r="E6" s="3"/>
      <c r="F6" s="16" t="s">
        <v>31</v>
      </c>
      <c r="G6" s="3"/>
      <c r="H6" s="16" t="s">
        <v>31</v>
      </c>
      <c r="I6" s="3"/>
      <c r="J6" s="16" t="s">
        <v>31</v>
      </c>
      <c r="K6" s="3"/>
      <c r="L6" s="16" t="s">
        <v>31</v>
      </c>
      <c r="M6" s="3"/>
      <c r="N6" s="16" t="s">
        <v>31</v>
      </c>
      <c r="O6" s="3"/>
      <c r="P6" s="16" t="s">
        <v>31</v>
      </c>
      <c r="Q6" s="3"/>
      <c r="R6" s="14"/>
      <c r="S6" s="3"/>
      <c r="T6" s="3"/>
      <c r="U6" s="3"/>
      <c r="V6" s="3"/>
      <c r="W6" s="3"/>
      <c r="X6" s="3"/>
      <c r="Y6" s="3"/>
      <c r="Z6" s="3"/>
    </row>
    <row r="7">
      <c r="A7" s="17" t="s">
        <v>32</v>
      </c>
      <c r="B7" s="17"/>
      <c r="C7" s="17" t="s">
        <v>32</v>
      </c>
      <c r="D7" s="17"/>
      <c r="E7" s="17" t="s">
        <v>32</v>
      </c>
      <c r="F7" s="17"/>
      <c r="G7" s="17" t="s">
        <v>32</v>
      </c>
      <c r="H7" s="17"/>
      <c r="I7" s="17" t="s">
        <v>32</v>
      </c>
      <c r="J7" s="17"/>
      <c r="K7" s="17" t="s">
        <v>32</v>
      </c>
      <c r="L7" s="17"/>
      <c r="M7" s="17" t="s">
        <v>32</v>
      </c>
      <c r="N7" s="17"/>
      <c r="O7" s="17" t="s">
        <v>32</v>
      </c>
      <c r="P7" s="17"/>
      <c r="Q7" s="17"/>
      <c r="R7" s="14"/>
      <c r="S7" s="17"/>
      <c r="T7" s="17"/>
      <c r="U7" s="17"/>
      <c r="V7" s="17"/>
      <c r="W7" s="17"/>
      <c r="X7" s="17"/>
      <c r="Y7" s="17"/>
      <c r="Z7" s="17"/>
    </row>
    <row r="8">
      <c r="A8" s="3" t="s">
        <v>33</v>
      </c>
      <c r="B8" s="14"/>
      <c r="C8" s="19" t="s">
        <v>37</v>
      </c>
      <c r="D8" s="14">
        <v>23.0</v>
      </c>
      <c r="E8" s="19" t="s">
        <v>40</v>
      </c>
      <c r="F8" s="14">
        <v>29.0</v>
      </c>
      <c r="G8" s="19" t="s">
        <v>36</v>
      </c>
      <c r="H8" s="14">
        <v>13.0</v>
      </c>
      <c r="I8" s="19" t="s">
        <v>34</v>
      </c>
      <c r="J8" s="14">
        <v>31.0</v>
      </c>
      <c r="K8" s="3" t="s">
        <v>38</v>
      </c>
      <c r="L8" s="14"/>
      <c r="M8" s="19" t="s">
        <v>35</v>
      </c>
      <c r="N8" s="14">
        <v>27.0</v>
      </c>
      <c r="O8" s="19" t="s">
        <v>39</v>
      </c>
      <c r="P8" s="14">
        <v>37.0</v>
      </c>
      <c r="Q8" s="3"/>
      <c r="R8" s="14"/>
      <c r="S8" s="3"/>
      <c r="T8" s="3"/>
      <c r="U8" s="3"/>
      <c r="V8" s="3"/>
      <c r="W8" s="3"/>
      <c r="X8" s="3"/>
      <c r="Y8" s="3"/>
      <c r="Z8" s="3"/>
    </row>
    <row r="9">
      <c r="A9" s="19" t="s">
        <v>41</v>
      </c>
      <c r="B9" s="14">
        <v>9.0</v>
      </c>
      <c r="C9" s="3" t="s">
        <v>45</v>
      </c>
      <c r="D9" s="3"/>
      <c r="E9" s="3" t="s">
        <v>48</v>
      </c>
      <c r="F9" s="3"/>
      <c r="G9" s="3" t="s">
        <v>44</v>
      </c>
      <c r="H9" s="3"/>
      <c r="I9" s="3" t="s">
        <v>42</v>
      </c>
      <c r="J9" s="3"/>
      <c r="K9" s="19" t="s">
        <v>46</v>
      </c>
      <c r="L9" s="14">
        <v>5.0</v>
      </c>
      <c r="M9" s="3" t="s">
        <v>43</v>
      </c>
      <c r="N9" s="3"/>
      <c r="O9" s="3" t="s">
        <v>47</v>
      </c>
      <c r="P9" s="3"/>
      <c r="Q9" s="3"/>
      <c r="R9" s="14"/>
      <c r="S9" s="3"/>
      <c r="T9" s="3"/>
      <c r="U9" s="3"/>
      <c r="V9" s="3"/>
      <c r="W9" s="3"/>
      <c r="X9" s="3"/>
      <c r="Y9" s="3"/>
      <c r="Z9" s="3"/>
    </row>
    <row r="10">
      <c r="A10" s="3" t="s">
        <v>49</v>
      </c>
      <c r="B10" s="3"/>
      <c r="C10" s="3" t="s">
        <v>254</v>
      </c>
      <c r="D10" s="3"/>
      <c r="E10" s="3" t="s">
        <v>56</v>
      </c>
      <c r="F10" s="3"/>
      <c r="G10" s="3" t="s">
        <v>52</v>
      </c>
      <c r="H10" s="3"/>
      <c r="I10" s="3" t="s">
        <v>50</v>
      </c>
      <c r="J10" s="3"/>
      <c r="K10" s="3" t="s">
        <v>54</v>
      </c>
      <c r="L10" s="3"/>
      <c r="M10" s="3" t="s">
        <v>242</v>
      </c>
      <c r="N10" s="3"/>
      <c r="O10" s="3" t="s">
        <v>55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57</v>
      </c>
      <c r="B12" s="17"/>
      <c r="C12" s="17" t="s">
        <v>57</v>
      </c>
      <c r="D12" s="17"/>
      <c r="E12" s="17" t="s">
        <v>57</v>
      </c>
      <c r="F12" s="17"/>
      <c r="G12" s="17" t="s">
        <v>57</v>
      </c>
      <c r="H12" s="17"/>
      <c r="I12" s="17" t="s">
        <v>57</v>
      </c>
      <c r="J12" s="17"/>
      <c r="K12" s="17" t="s">
        <v>57</v>
      </c>
      <c r="L12" s="17"/>
      <c r="M12" s="17" t="s">
        <v>57</v>
      </c>
      <c r="N12" s="17"/>
      <c r="O12" s="17" t="s">
        <v>57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 t="s">
        <v>58</v>
      </c>
      <c r="B13" s="14">
        <v>10.0</v>
      </c>
      <c r="C13" s="19" t="s">
        <v>62</v>
      </c>
      <c r="D13" s="14">
        <v>25.0</v>
      </c>
      <c r="E13" s="3" t="s">
        <v>65</v>
      </c>
      <c r="F13" s="3"/>
      <c r="G13" s="19" t="s">
        <v>61</v>
      </c>
      <c r="H13" s="14">
        <v>4.0</v>
      </c>
      <c r="I13" s="19" t="s">
        <v>59</v>
      </c>
      <c r="J13" s="14">
        <v>18.0</v>
      </c>
      <c r="K13" s="22" t="s">
        <v>63</v>
      </c>
      <c r="L13" s="14">
        <v>12.0</v>
      </c>
      <c r="M13" s="19" t="s">
        <v>60</v>
      </c>
      <c r="N13" s="14">
        <v>0.0</v>
      </c>
      <c r="O13" s="19" t="s">
        <v>64</v>
      </c>
      <c r="P13" s="14">
        <v>10.0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66</v>
      </c>
      <c r="C14" s="19" t="s">
        <v>70</v>
      </c>
      <c r="D14" s="14">
        <v>8.0</v>
      </c>
      <c r="E14" s="19" t="s">
        <v>73</v>
      </c>
      <c r="F14" s="14">
        <v>9.0</v>
      </c>
      <c r="G14" s="3" t="s">
        <v>69</v>
      </c>
      <c r="H14" s="14"/>
      <c r="I14" s="19" t="s">
        <v>67</v>
      </c>
      <c r="J14" s="14">
        <v>10.0</v>
      </c>
      <c r="K14" s="19" t="s">
        <v>71</v>
      </c>
      <c r="L14" s="14">
        <v>20.0</v>
      </c>
      <c r="M14" s="19" t="s">
        <v>68</v>
      </c>
      <c r="N14" s="14">
        <v>27.0</v>
      </c>
      <c r="O14" s="19" t="s">
        <v>72</v>
      </c>
      <c r="P14" s="14">
        <v>18.0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74</v>
      </c>
      <c r="B15" s="14"/>
      <c r="C15" s="3" t="s">
        <v>78</v>
      </c>
      <c r="D15" s="3"/>
      <c r="E15" s="3" t="s">
        <v>81</v>
      </c>
      <c r="F15" s="3"/>
      <c r="G15" s="3" t="s">
        <v>77</v>
      </c>
      <c r="I15" s="3" t="s">
        <v>75</v>
      </c>
      <c r="K15" s="3" t="s">
        <v>79</v>
      </c>
      <c r="L15" s="3"/>
      <c r="M15" s="3" t="s">
        <v>76</v>
      </c>
      <c r="N15" s="3"/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 t="s">
        <v>82</v>
      </c>
      <c r="B16" s="14">
        <v>1.0</v>
      </c>
      <c r="C16" s="3" t="s">
        <v>86</v>
      </c>
      <c r="D16" s="14"/>
      <c r="E16" s="19" t="s">
        <v>243</v>
      </c>
      <c r="F16" s="14">
        <v>0.0</v>
      </c>
      <c r="G16" s="19" t="s">
        <v>214</v>
      </c>
      <c r="H16" s="14">
        <v>8.0</v>
      </c>
      <c r="I16" s="14" t="s">
        <v>83</v>
      </c>
      <c r="J16" s="14"/>
      <c r="K16" s="3" t="s">
        <v>87</v>
      </c>
      <c r="L16" s="14"/>
      <c r="M16" s="14" t="s">
        <v>84</v>
      </c>
      <c r="N16" s="14"/>
      <c r="O16" s="3" t="s">
        <v>88</v>
      </c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F17" s="3"/>
      <c r="G17" s="3"/>
      <c r="H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90</v>
      </c>
      <c r="B18" s="17"/>
      <c r="C18" s="17" t="s">
        <v>90</v>
      </c>
      <c r="D18" s="17"/>
      <c r="E18" s="17" t="s">
        <v>90</v>
      </c>
      <c r="F18" s="17"/>
      <c r="G18" s="17" t="s">
        <v>90</v>
      </c>
      <c r="H18" s="17"/>
      <c r="I18" s="17" t="s">
        <v>90</v>
      </c>
      <c r="J18" s="17"/>
      <c r="K18" s="17" t="s">
        <v>90</v>
      </c>
      <c r="L18" s="17"/>
      <c r="M18" s="17" t="s">
        <v>90</v>
      </c>
      <c r="N18" s="17"/>
      <c r="O18" s="17" t="s">
        <v>90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3" t="s">
        <v>91</v>
      </c>
      <c r="B19" s="14"/>
      <c r="C19" s="3" t="s">
        <v>95</v>
      </c>
      <c r="D19" s="14"/>
      <c r="E19" s="14" t="s">
        <v>98</v>
      </c>
      <c r="F19" s="14"/>
      <c r="G19" s="19" t="s">
        <v>94</v>
      </c>
      <c r="H19" s="14">
        <v>10.0</v>
      </c>
      <c r="I19" s="19" t="s">
        <v>92</v>
      </c>
      <c r="J19" s="14">
        <v>2.0</v>
      </c>
      <c r="K19" s="3" t="s">
        <v>96</v>
      </c>
      <c r="M19" s="19" t="s">
        <v>93</v>
      </c>
      <c r="N19" s="14">
        <v>2.0</v>
      </c>
      <c r="O19" s="19" t="s">
        <v>97</v>
      </c>
      <c r="P19" s="14">
        <v>13.0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2" t="s">
        <v>99</v>
      </c>
      <c r="B20" s="14">
        <v>18.0</v>
      </c>
      <c r="C20" s="19" t="s">
        <v>103</v>
      </c>
      <c r="D20" s="14">
        <v>9.0</v>
      </c>
      <c r="E20" s="3" t="s">
        <v>106</v>
      </c>
      <c r="F20" s="3"/>
      <c r="G20" s="3" t="s">
        <v>102</v>
      </c>
      <c r="H20" s="3"/>
      <c r="I20" s="23" t="s">
        <v>100</v>
      </c>
      <c r="K20" s="14" t="s">
        <v>104</v>
      </c>
      <c r="M20" s="19" t="s">
        <v>101</v>
      </c>
      <c r="N20" s="14">
        <v>3.0</v>
      </c>
      <c r="O20" s="3" t="s">
        <v>113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107</v>
      </c>
      <c r="B21" s="14">
        <v>2.0</v>
      </c>
      <c r="C21" s="3" t="s">
        <v>111</v>
      </c>
      <c r="D21" s="3"/>
      <c r="E21" s="19" t="s">
        <v>114</v>
      </c>
      <c r="F21" s="14">
        <v>15.0</v>
      </c>
      <c r="G21" s="3" t="s">
        <v>110</v>
      </c>
      <c r="H21" s="3"/>
      <c r="I21" s="19" t="s">
        <v>108</v>
      </c>
      <c r="J21" s="14">
        <v>15.0</v>
      </c>
      <c r="K21" s="19" t="s">
        <v>112</v>
      </c>
      <c r="L21" s="14">
        <v>6.0</v>
      </c>
      <c r="M21" s="23" t="s">
        <v>109</v>
      </c>
      <c r="N21" s="14"/>
      <c r="O21" s="19" t="s">
        <v>105</v>
      </c>
      <c r="P21" s="14">
        <v>9.0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115</v>
      </c>
      <c r="C22" s="19" t="s">
        <v>119</v>
      </c>
      <c r="D22" s="14">
        <v>0.0</v>
      </c>
      <c r="E22" s="19" t="s">
        <v>122</v>
      </c>
      <c r="F22" s="14">
        <v>4.0</v>
      </c>
      <c r="G22" s="19" t="s">
        <v>218</v>
      </c>
      <c r="H22" s="14">
        <v>0.0</v>
      </c>
      <c r="I22" s="3" t="s">
        <v>116</v>
      </c>
      <c r="K22" s="22" t="s">
        <v>120</v>
      </c>
      <c r="L22" s="14">
        <v>5.0</v>
      </c>
      <c r="M22" s="3" t="s">
        <v>117</v>
      </c>
      <c r="N22" s="14"/>
      <c r="O22" s="3" t="s">
        <v>121</v>
      </c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 t="s">
        <v>123</v>
      </c>
      <c r="B24" s="17"/>
      <c r="C24" s="17" t="s">
        <v>123</v>
      </c>
      <c r="D24" s="17"/>
      <c r="E24" s="17" t="s">
        <v>123</v>
      </c>
      <c r="F24" s="17"/>
      <c r="G24" s="17" t="s">
        <v>123</v>
      </c>
      <c r="H24" s="17"/>
      <c r="I24" s="17" t="s">
        <v>123</v>
      </c>
      <c r="J24" s="17"/>
      <c r="K24" s="17" t="s">
        <v>123</v>
      </c>
      <c r="L24" s="17"/>
      <c r="M24" s="17" t="s">
        <v>123</v>
      </c>
      <c r="N24" s="17"/>
      <c r="O24" s="17" t="s">
        <v>123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3" t="s">
        <v>124</v>
      </c>
      <c r="B25" s="14"/>
      <c r="C25" s="19" t="s">
        <v>128</v>
      </c>
      <c r="D25" s="14">
        <v>0.0</v>
      </c>
      <c r="E25" s="19" t="s">
        <v>131</v>
      </c>
      <c r="F25" s="14">
        <v>3.0</v>
      </c>
      <c r="G25" s="3" t="s">
        <v>127</v>
      </c>
      <c r="H25" s="14"/>
      <c r="I25" s="3" t="s">
        <v>125</v>
      </c>
      <c r="J25" s="14"/>
      <c r="K25" s="19" t="s">
        <v>129</v>
      </c>
      <c r="L25" s="14">
        <v>9.0</v>
      </c>
      <c r="M25" s="3" t="s">
        <v>126</v>
      </c>
      <c r="N25" s="14"/>
      <c r="O25" s="3" t="s">
        <v>130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9" t="s">
        <v>132</v>
      </c>
      <c r="B26" s="14">
        <v>1.0</v>
      </c>
      <c r="C26" s="3" t="s">
        <v>136</v>
      </c>
      <c r="D26" s="3"/>
      <c r="E26" s="3" t="s">
        <v>139</v>
      </c>
      <c r="F26" s="3"/>
      <c r="G26" s="19" t="s">
        <v>135</v>
      </c>
      <c r="H26" s="14">
        <v>1.0</v>
      </c>
      <c r="I26" s="19" t="s">
        <v>133</v>
      </c>
      <c r="J26" s="14">
        <v>3.0</v>
      </c>
      <c r="K26" s="3" t="s">
        <v>137</v>
      </c>
      <c r="L26" s="3"/>
      <c r="M26" s="19" t="s">
        <v>244</v>
      </c>
      <c r="N26" s="14">
        <v>0.0</v>
      </c>
      <c r="O26" s="19" t="s">
        <v>138</v>
      </c>
      <c r="P26" s="14">
        <v>11.0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140</v>
      </c>
      <c r="C27" s="3" t="s">
        <v>144</v>
      </c>
      <c r="D27" s="3"/>
      <c r="E27" s="3" t="s">
        <v>147</v>
      </c>
      <c r="F27" s="3"/>
      <c r="G27" s="3" t="s">
        <v>143</v>
      </c>
      <c r="H27" s="3"/>
      <c r="I27" s="3" t="s">
        <v>141</v>
      </c>
      <c r="J27" s="3"/>
      <c r="K27" s="3" t="s">
        <v>145</v>
      </c>
      <c r="L27" s="3"/>
      <c r="M27" s="3" t="s">
        <v>142</v>
      </c>
      <c r="N27" s="3"/>
      <c r="O27" s="3" t="s">
        <v>146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148</v>
      </c>
      <c r="C29" s="17" t="s">
        <v>148</v>
      </c>
      <c r="D29" s="17"/>
      <c r="E29" s="17" t="s">
        <v>148</v>
      </c>
      <c r="F29" s="17"/>
      <c r="G29" s="17" t="s">
        <v>148</v>
      </c>
      <c r="H29" s="17"/>
      <c r="I29" s="17" t="s">
        <v>148</v>
      </c>
      <c r="J29" s="17"/>
      <c r="K29" s="17" t="s">
        <v>148</v>
      </c>
      <c r="L29" s="17"/>
      <c r="M29" s="17" t="s">
        <v>148</v>
      </c>
      <c r="N29" s="17"/>
      <c r="O29" s="17" t="s">
        <v>148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9" t="s">
        <v>149</v>
      </c>
      <c r="B30" s="14">
        <v>5.0</v>
      </c>
      <c r="C30" s="3" t="s">
        <v>153</v>
      </c>
      <c r="D30" s="14"/>
      <c r="E30" s="19" t="s">
        <v>156</v>
      </c>
      <c r="F30" s="14">
        <v>13.0</v>
      </c>
      <c r="G30" s="19" t="s">
        <v>152</v>
      </c>
      <c r="H30" s="14">
        <v>11.0</v>
      </c>
      <c r="I30" s="19" t="s">
        <v>150</v>
      </c>
      <c r="J30" s="14">
        <v>6.0</v>
      </c>
      <c r="K30" s="3" t="s">
        <v>154</v>
      </c>
      <c r="L30" s="14"/>
      <c r="M30" s="19" t="s">
        <v>151</v>
      </c>
      <c r="N30" s="14">
        <v>3.0</v>
      </c>
      <c r="O30" s="19" t="s">
        <v>155</v>
      </c>
      <c r="P30" s="14">
        <v>7.0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157</v>
      </c>
      <c r="B31" s="17"/>
      <c r="C31" s="19" t="s">
        <v>161</v>
      </c>
      <c r="D31" s="14">
        <v>6.0</v>
      </c>
      <c r="E31" s="3" t="s">
        <v>164</v>
      </c>
      <c r="F31" s="14"/>
      <c r="G31" s="3" t="s">
        <v>160</v>
      </c>
      <c r="H31" s="14"/>
      <c r="I31" s="3" t="s">
        <v>158</v>
      </c>
      <c r="J31" s="14"/>
      <c r="K31" s="19" t="s">
        <v>162</v>
      </c>
      <c r="L31" s="14">
        <v>10.0</v>
      </c>
      <c r="M31" s="3" t="s">
        <v>159</v>
      </c>
      <c r="N31" s="14"/>
      <c r="O31" s="3" t="s">
        <v>163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165</v>
      </c>
      <c r="B33" s="17"/>
      <c r="C33" s="17" t="s">
        <v>165</v>
      </c>
      <c r="D33" s="17"/>
      <c r="E33" s="17" t="s">
        <v>165</v>
      </c>
      <c r="F33" s="17"/>
      <c r="G33" s="17" t="s">
        <v>165</v>
      </c>
      <c r="H33" s="17"/>
      <c r="I33" s="17" t="s">
        <v>165</v>
      </c>
      <c r="J33" s="17"/>
      <c r="K33" s="17" t="s">
        <v>165</v>
      </c>
      <c r="L33" s="17"/>
      <c r="M33" s="17" t="s">
        <v>165</v>
      </c>
      <c r="N33" s="17"/>
      <c r="O33" s="17" t="s">
        <v>165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9" t="s">
        <v>166</v>
      </c>
      <c r="B34" s="14">
        <v>12.0</v>
      </c>
      <c r="C34" s="3" t="s">
        <v>170</v>
      </c>
      <c r="D34" s="14"/>
      <c r="E34" s="19" t="s">
        <v>173</v>
      </c>
      <c r="F34" s="14">
        <v>-6.0</v>
      </c>
      <c r="G34" s="19" t="s">
        <v>169</v>
      </c>
      <c r="H34" s="14">
        <v>1.0</v>
      </c>
      <c r="I34" s="3" t="s">
        <v>167</v>
      </c>
      <c r="J34" s="14"/>
      <c r="K34" s="19" t="s">
        <v>171</v>
      </c>
      <c r="L34" s="14">
        <v>8.0</v>
      </c>
      <c r="M34" s="3" t="s">
        <v>168</v>
      </c>
      <c r="N34" s="14"/>
      <c r="O34" s="3" t="s">
        <v>172</v>
      </c>
      <c r="P34" s="14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255</v>
      </c>
      <c r="B35" s="3"/>
      <c r="C35" s="19" t="s">
        <v>178</v>
      </c>
      <c r="D35" s="14">
        <v>14.0</v>
      </c>
      <c r="E35" s="3" t="s">
        <v>181</v>
      </c>
      <c r="F35" s="3"/>
      <c r="G35" s="3" t="s">
        <v>177</v>
      </c>
      <c r="H35" s="3"/>
      <c r="I35" s="3" t="s">
        <v>175</v>
      </c>
      <c r="J35" s="3"/>
      <c r="K35" s="3" t="s">
        <v>179</v>
      </c>
      <c r="L35" s="3"/>
      <c r="M35" s="19" t="s">
        <v>176</v>
      </c>
      <c r="N35" s="14">
        <v>10.0</v>
      </c>
      <c r="O35" s="19" t="s">
        <v>180</v>
      </c>
      <c r="P35" s="14">
        <v>5.0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N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182</v>
      </c>
      <c r="B37" s="17"/>
      <c r="C37" s="17" t="s">
        <v>182</v>
      </c>
      <c r="D37" s="17"/>
      <c r="E37" s="17" t="s">
        <v>182</v>
      </c>
      <c r="F37" s="16"/>
      <c r="G37" s="17" t="s">
        <v>182</v>
      </c>
      <c r="H37" s="17"/>
      <c r="I37" s="17" t="s">
        <v>182</v>
      </c>
      <c r="J37" s="17"/>
      <c r="K37" s="17" t="s">
        <v>182</v>
      </c>
      <c r="L37" s="17"/>
      <c r="M37" s="17" t="s">
        <v>182</v>
      </c>
      <c r="N37" s="17"/>
      <c r="O37" s="17" t="s">
        <v>182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3" t="s">
        <v>183</v>
      </c>
      <c r="B38" s="14"/>
      <c r="C38" s="19" t="s">
        <v>187</v>
      </c>
      <c r="D38" s="14">
        <v>-1.0</v>
      </c>
      <c r="E38" s="19" t="s">
        <v>190</v>
      </c>
      <c r="F38" s="14">
        <v>-1.0</v>
      </c>
      <c r="G38" s="19" t="s">
        <v>186</v>
      </c>
      <c r="H38" s="14">
        <v>-2.0</v>
      </c>
      <c r="I38" s="3" t="s">
        <v>184</v>
      </c>
      <c r="J38" s="14"/>
      <c r="K38" s="3" t="s">
        <v>188</v>
      </c>
      <c r="L38" s="14"/>
      <c r="M38" s="19" t="s">
        <v>185</v>
      </c>
      <c r="N38" s="14">
        <v>4.0</v>
      </c>
      <c r="O38" s="3" t="s">
        <v>189</v>
      </c>
      <c r="P38" s="1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9" t="s">
        <v>191</v>
      </c>
      <c r="B39" s="14">
        <v>4.0</v>
      </c>
      <c r="C39" s="3" t="s">
        <v>195</v>
      </c>
      <c r="D39" s="3"/>
      <c r="E39" s="3" t="s">
        <v>198</v>
      </c>
      <c r="F39" s="14"/>
      <c r="G39" s="3" t="s">
        <v>194</v>
      </c>
      <c r="H39" s="14"/>
      <c r="I39" s="19" t="s">
        <v>192</v>
      </c>
      <c r="J39" s="14">
        <v>-1.0</v>
      </c>
      <c r="K39" s="19" t="s">
        <v>196</v>
      </c>
      <c r="L39" s="14">
        <v>6.0</v>
      </c>
      <c r="M39" s="3" t="s">
        <v>193</v>
      </c>
      <c r="N39" s="14"/>
      <c r="O39" s="3" t="s">
        <v>197</v>
      </c>
      <c r="P39" s="14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>
        <f>SUM(B8:B39)</f>
        <v>62</v>
      </c>
      <c r="C40" s="3"/>
      <c r="D40" s="3">
        <f>SUM(D8:D39)</f>
        <v>84</v>
      </c>
      <c r="E40" s="3"/>
      <c r="F40" s="3">
        <f>SUM(F8:F39)</f>
        <v>66</v>
      </c>
      <c r="G40" s="3"/>
      <c r="H40" s="3">
        <f>SUM(H8:H39)</f>
        <v>46</v>
      </c>
      <c r="I40" s="3"/>
      <c r="J40" s="3">
        <f>SUM(J8:J39)</f>
        <v>84</v>
      </c>
      <c r="K40" s="3"/>
      <c r="L40" s="3">
        <f>SUM(L8:L39)</f>
        <v>81</v>
      </c>
      <c r="M40" s="3"/>
      <c r="N40" s="3">
        <f>SUM(N8:N39)</f>
        <v>76</v>
      </c>
      <c r="O40" s="3"/>
      <c r="P40" s="3">
        <f>SUM(P8:P39)</f>
        <v>110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221</v>
      </c>
      <c r="B42" s="3"/>
      <c r="C42" s="3" t="s">
        <v>221</v>
      </c>
      <c r="D42" s="3"/>
      <c r="E42" s="3" t="s">
        <v>221</v>
      </c>
      <c r="F42" s="3"/>
      <c r="G42" s="3" t="s">
        <v>221</v>
      </c>
      <c r="H42" s="3"/>
      <c r="I42" s="3" t="s">
        <v>221</v>
      </c>
      <c r="J42" s="3"/>
      <c r="K42" s="3" t="s">
        <v>221</v>
      </c>
      <c r="L42" s="3"/>
      <c r="M42" s="3" t="s">
        <v>221</v>
      </c>
      <c r="N42" s="3"/>
      <c r="O42" s="3" t="s">
        <v>221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 t="s">
        <v>148</v>
      </c>
      <c r="C43" s="17" t="s">
        <v>32</v>
      </c>
      <c r="D43" s="17"/>
      <c r="E43" s="17" t="s">
        <v>32</v>
      </c>
      <c r="F43" s="17"/>
      <c r="G43" s="17" t="s">
        <v>57</v>
      </c>
      <c r="H43" s="17"/>
      <c r="I43" s="17" t="s">
        <v>32</v>
      </c>
      <c r="J43" s="17"/>
      <c r="K43" s="17" t="s">
        <v>32</v>
      </c>
      <c r="L43" s="17"/>
      <c r="M43" s="17" t="s">
        <v>32</v>
      </c>
      <c r="N43" s="17"/>
      <c r="O43" s="17" t="s">
        <v>90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" t="s">
        <v>222</v>
      </c>
      <c r="C44" s="3" t="s">
        <v>53</v>
      </c>
      <c r="D44" s="3"/>
      <c r="E44" s="3" t="s">
        <v>224</v>
      </c>
      <c r="F44" s="3"/>
      <c r="G44" s="3" t="s">
        <v>85</v>
      </c>
      <c r="H44" s="3"/>
      <c r="I44" s="3" t="s">
        <v>227</v>
      </c>
      <c r="J44" s="3"/>
      <c r="K44" s="3" t="s">
        <v>223</v>
      </c>
      <c r="L44" s="3"/>
      <c r="M44" s="3" t="s">
        <v>51</v>
      </c>
      <c r="N44" s="3"/>
      <c r="O44" s="3" t="s">
        <v>226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 t="s">
        <v>165</v>
      </c>
      <c r="C45" s="17" t="s">
        <v>90</v>
      </c>
      <c r="D45" s="17"/>
      <c r="E45" s="17" t="s">
        <v>57</v>
      </c>
      <c r="F45" s="17"/>
      <c r="G45" s="17" t="s">
        <v>90</v>
      </c>
      <c r="H45" s="17"/>
      <c r="I45" s="17" t="s">
        <v>57</v>
      </c>
      <c r="J45" s="17"/>
      <c r="K45" s="17" t="s">
        <v>57</v>
      </c>
      <c r="L45" s="17"/>
      <c r="M45" s="17" t="s">
        <v>123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3" t="s">
        <v>174</v>
      </c>
      <c r="C46" s="3" t="s">
        <v>225</v>
      </c>
      <c r="D46" s="3"/>
      <c r="E46" s="3" t="s">
        <v>89</v>
      </c>
      <c r="F46" s="3"/>
      <c r="G46" s="3" t="s">
        <v>118</v>
      </c>
      <c r="H46" s="3"/>
      <c r="I46" s="3" t="s">
        <v>231</v>
      </c>
      <c r="J46" s="3"/>
      <c r="K46" s="3" t="s">
        <v>228</v>
      </c>
      <c r="L46" s="3"/>
      <c r="M46" s="3" t="s">
        <v>134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B47" s="17"/>
      <c r="C47" s="17" t="s">
        <v>123</v>
      </c>
      <c r="D47" s="17"/>
      <c r="E47" s="17" t="s">
        <v>90</v>
      </c>
      <c r="F47" s="17"/>
      <c r="G47" s="17" t="s">
        <v>123</v>
      </c>
      <c r="H47" s="17"/>
      <c r="I47" s="17" t="s">
        <v>90</v>
      </c>
      <c r="J47" s="17"/>
      <c r="K47" s="17" t="s">
        <v>90</v>
      </c>
      <c r="L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B48" s="3"/>
      <c r="C48" s="3" t="s">
        <v>230</v>
      </c>
      <c r="D48" s="3"/>
      <c r="E48" s="3" t="s">
        <v>229</v>
      </c>
      <c r="F48" s="3"/>
      <c r="G48" s="3" t="s">
        <v>235</v>
      </c>
      <c r="H48" s="3"/>
      <c r="I48" s="3" t="s">
        <v>236</v>
      </c>
      <c r="J48" s="3"/>
      <c r="K48" s="3" t="s">
        <v>232</v>
      </c>
      <c r="L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/>
      <c r="B49" s="17"/>
      <c r="C49" s="17" t="s">
        <v>182</v>
      </c>
      <c r="D49" s="17"/>
      <c r="E49" s="17" t="s">
        <v>123</v>
      </c>
      <c r="F49" s="17"/>
      <c r="G49" s="17" t="s">
        <v>165</v>
      </c>
      <c r="H49" s="17"/>
      <c r="I49" s="17" t="s">
        <v>123</v>
      </c>
      <c r="J49" s="17"/>
      <c r="K49" s="17" t="s">
        <v>123</v>
      </c>
      <c r="L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"/>
      <c r="B50" s="3"/>
      <c r="C50" s="3" t="s">
        <v>234</v>
      </c>
      <c r="D50" s="3"/>
      <c r="E50" s="3" t="s">
        <v>233</v>
      </c>
      <c r="F50" s="3"/>
      <c r="G50" s="3" t="s">
        <v>238</v>
      </c>
      <c r="H50" s="3"/>
      <c r="I50" s="3" t="s">
        <v>239</v>
      </c>
      <c r="J50" s="3"/>
      <c r="K50" s="3" t="s">
        <v>237</v>
      </c>
      <c r="L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5" max="5" width="15.13"/>
    <col customWidth="1" min="15" max="15" width="15.5"/>
    <col customWidth="1" min="18" max="18" width="14.38"/>
  </cols>
  <sheetData>
    <row r="1">
      <c r="A1" s="1" t="s">
        <v>262</v>
      </c>
      <c r="B1" s="32" t="s">
        <v>251</v>
      </c>
      <c r="C1" s="3"/>
      <c r="D1" s="26" t="s">
        <v>208</v>
      </c>
      <c r="E1" s="3"/>
      <c r="F1" s="6" t="s">
        <v>3</v>
      </c>
      <c r="G1" s="3"/>
      <c r="H1" s="7" t="s">
        <v>4</v>
      </c>
      <c r="I1" s="3"/>
      <c r="J1" s="8" t="s">
        <v>5</v>
      </c>
      <c r="K1" s="3"/>
      <c r="L1" s="9" t="s">
        <v>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257</v>
      </c>
      <c r="B3" s="3"/>
      <c r="C3" s="12" t="s">
        <v>259</v>
      </c>
      <c r="D3" s="3"/>
      <c r="E3" s="12" t="s">
        <v>261</v>
      </c>
      <c r="F3" s="3"/>
      <c r="G3" s="11" t="s">
        <v>252</v>
      </c>
      <c r="H3" s="3"/>
      <c r="I3" s="12" t="s">
        <v>8</v>
      </c>
      <c r="J3" s="3"/>
      <c r="K3" s="12" t="s">
        <v>258</v>
      </c>
      <c r="L3" s="3"/>
      <c r="M3" s="11" t="s">
        <v>9</v>
      </c>
      <c r="N3" s="3"/>
      <c r="O3" s="12" t="s">
        <v>260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15</v>
      </c>
      <c r="B4" s="14"/>
      <c r="C4" s="3" t="s">
        <v>22</v>
      </c>
      <c r="D4" s="3"/>
      <c r="E4" s="3" t="s">
        <v>21</v>
      </c>
      <c r="F4" s="3"/>
      <c r="G4" s="3" t="s">
        <v>18</v>
      </c>
      <c r="H4" s="3"/>
      <c r="I4" s="3" t="s">
        <v>16</v>
      </c>
      <c r="J4" s="3"/>
      <c r="K4" s="3" t="s">
        <v>19</v>
      </c>
      <c r="L4" s="3"/>
      <c r="M4" s="15" t="s">
        <v>17</v>
      </c>
      <c r="N4" s="3"/>
      <c r="O4" s="3" t="s">
        <v>20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23</v>
      </c>
      <c r="B5" s="3"/>
      <c r="C5" s="14" t="s">
        <v>30</v>
      </c>
      <c r="D5" s="3"/>
      <c r="E5" s="14" t="s">
        <v>29</v>
      </c>
      <c r="F5" s="3"/>
      <c r="G5" s="14" t="s">
        <v>26</v>
      </c>
      <c r="H5" s="3"/>
      <c r="I5" s="14" t="s">
        <v>24</v>
      </c>
      <c r="J5" s="3"/>
      <c r="K5" s="14" t="s">
        <v>27</v>
      </c>
      <c r="L5" s="3"/>
      <c r="M5" s="14" t="s">
        <v>25</v>
      </c>
      <c r="N5" s="3"/>
      <c r="O5" s="14" t="s">
        <v>28</v>
      </c>
      <c r="P5" s="3"/>
      <c r="Q5" s="3"/>
      <c r="R5" s="22"/>
      <c r="S5" s="3"/>
      <c r="T5" s="3"/>
      <c r="U5" s="3"/>
      <c r="V5" s="3"/>
      <c r="W5" s="3"/>
      <c r="X5" s="3"/>
      <c r="Y5" s="3"/>
      <c r="Z5" s="3"/>
    </row>
    <row r="6">
      <c r="A6" s="3"/>
      <c r="B6" s="16" t="s">
        <v>31</v>
      </c>
      <c r="C6" s="3"/>
      <c r="D6" s="16" t="s">
        <v>31</v>
      </c>
      <c r="E6" s="3"/>
      <c r="F6" s="16" t="s">
        <v>31</v>
      </c>
      <c r="G6" s="3"/>
      <c r="H6" s="16" t="s">
        <v>31</v>
      </c>
      <c r="I6" s="3"/>
      <c r="J6" s="16" t="s">
        <v>31</v>
      </c>
      <c r="K6" s="3"/>
      <c r="L6" s="16" t="s">
        <v>31</v>
      </c>
      <c r="M6" s="3"/>
      <c r="N6" s="16" t="s">
        <v>31</v>
      </c>
      <c r="O6" s="3"/>
      <c r="P6" s="16" t="s">
        <v>31</v>
      </c>
      <c r="Q6" s="3"/>
      <c r="R6" s="22"/>
      <c r="S6" s="3"/>
      <c r="T6" s="3"/>
      <c r="U6" s="3"/>
      <c r="V6" s="3"/>
      <c r="W6" s="3"/>
      <c r="X6" s="3"/>
      <c r="Y6" s="3"/>
      <c r="Z6" s="3"/>
    </row>
    <row r="7">
      <c r="A7" s="17" t="s">
        <v>32</v>
      </c>
      <c r="B7" s="17"/>
      <c r="C7" s="17" t="s">
        <v>32</v>
      </c>
      <c r="D7" s="17"/>
      <c r="E7" s="17" t="s">
        <v>32</v>
      </c>
      <c r="F7" s="17"/>
      <c r="G7" s="17" t="s">
        <v>32</v>
      </c>
      <c r="H7" s="17"/>
      <c r="I7" s="17" t="s">
        <v>32</v>
      </c>
      <c r="J7" s="17"/>
      <c r="K7" s="17" t="s">
        <v>32</v>
      </c>
      <c r="L7" s="17"/>
      <c r="M7" s="17" t="s">
        <v>32</v>
      </c>
      <c r="N7" s="17"/>
      <c r="O7" s="17" t="s">
        <v>32</v>
      </c>
      <c r="P7" s="17"/>
      <c r="Q7" s="17"/>
      <c r="R7" s="22"/>
      <c r="S7" s="17"/>
      <c r="T7" s="17"/>
      <c r="U7" s="17"/>
      <c r="V7" s="17"/>
      <c r="W7" s="17"/>
      <c r="X7" s="17"/>
      <c r="Y7" s="17"/>
      <c r="Z7" s="17"/>
    </row>
    <row r="8">
      <c r="A8" s="19" t="s">
        <v>33</v>
      </c>
      <c r="B8" s="14">
        <v>36.0</v>
      </c>
      <c r="C8" s="19" t="s">
        <v>40</v>
      </c>
      <c r="D8" s="14">
        <v>36.0</v>
      </c>
      <c r="E8" s="19" t="s">
        <v>39</v>
      </c>
      <c r="F8" s="14">
        <v>2.0</v>
      </c>
      <c r="G8" s="19" t="s">
        <v>36</v>
      </c>
      <c r="H8" s="14">
        <v>28.0</v>
      </c>
      <c r="I8" s="19" t="s">
        <v>34</v>
      </c>
      <c r="J8" s="14">
        <v>43.0</v>
      </c>
      <c r="K8" s="19" t="s">
        <v>37</v>
      </c>
      <c r="L8" s="14">
        <v>17.0</v>
      </c>
      <c r="M8" s="19" t="s">
        <v>35</v>
      </c>
      <c r="N8" s="14">
        <v>41.0</v>
      </c>
      <c r="O8" s="3" t="s">
        <v>38</v>
      </c>
      <c r="P8" s="3"/>
      <c r="Q8" s="3"/>
      <c r="R8" s="22"/>
      <c r="S8" s="3"/>
      <c r="T8" s="3"/>
      <c r="U8" s="3"/>
      <c r="V8" s="3"/>
      <c r="W8" s="3"/>
      <c r="X8" s="3"/>
      <c r="Y8" s="3"/>
      <c r="Z8" s="3"/>
    </row>
    <row r="9">
      <c r="A9" s="3" t="s">
        <v>41</v>
      </c>
      <c r="B9" s="3"/>
      <c r="C9" s="3" t="s">
        <v>48</v>
      </c>
      <c r="D9" s="3"/>
      <c r="E9" s="3" t="s">
        <v>47</v>
      </c>
      <c r="F9" s="14"/>
      <c r="G9" s="3" t="s">
        <v>44</v>
      </c>
      <c r="H9" s="3"/>
      <c r="I9" s="3" t="s">
        <v>42</v>
      </c>
      <c r="J9" s="3"/>
      <c r="K9" s="3" t="s">
        <v>45</v>
      </c>
      <c r="L9" s="3"/>
      <c r="M9" s="3" t="s">
        <v>43</v>
      </c>
      <c r="N9" s="14"/>
      <c r="O9" s="19" t="s">
        <v>242</v>
      </c>
      <c r="P9" s="14">
        <v>23.0</v>
      </c>
      <c r="Q9" s="3"/>
      <c r="R9" s="22"/>
      <c r="S9" s="3"/>
      <c r="T9" s="3"/>
      <c r="U9" s="3"/>
      <c r="V9" s="3"/>
      <c r="W9" s="3"/>
      <c r="X9" s="3"/>
      <c r="Y9" s="3"/>
      <c r="Z9" s="3"/>
    </row>
    <row r="10">
      <c r="A10" s="3" t="s">
        <v>49</v>
      </c>
      <c r="B10" s="3"/>
      <c r="C10" s="3" t="s">
        <v>56</v>
      </c>
      <c r="D10" s="3"/>
      <c r="E10" s="3" t="s">
        <v>55</v>
      </c>
      <c r="F10" s="3"/>
      <c r="G10" s="3" t="s">
        <v>52</v>
      </c>
      <c r="H10" s="3"/>
      <c r="I10" s="3" t="s">
        <v>50</v>
      </c>
      <c r="J10" s="14"/>
      <c r="K10" s="3" t="s">
        <v>254</v>
      </c>
      <c r="L10" s="3"/>
      <c r="M10" s="3" t="s">
        <v>46</v>
      </c>
      <c r="N10" s="3"/>
      <c r="O10" s="3" t="s">
        <v>54</v>
      </c>
      <c r="P10" s="3"/>
      <c r="Q10" s="3"/>
      <c r="R10" s="19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57</v>
      </c>
      <c r="B12" s="17"/>
      <c r="C12" s="17" t="s">
        <v>57</v>
      </c>
      <c r="D12" s="17"/>
      <c r="E12" s="17" t="s">
        <v>57</v>
      </c>
      <c r="F12" s="17"/>
      <c r="G12" s="17" t="s">
        <v>57</v>
      </c>
      <c r="H12" s="17"/>
      <c r="I12" s="17" t="s">
        <v>57</v>
      </c>
      <c r="J12" s="17"/>
      <c r="K12" s="17" t="s">
        <v>57</v>
      </c>
      <c r="L12" s="17"/>
      <c r="M12" s="17" t="s">
        <v>57</v>
      </c>
      <c r="N12" s="17"/>
      <c r="O12" s="17" t="s">
        <v>57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3" t="s">
        <v>66</v>
      </c>
      <c r="B13" s="3"/>
      <c r="C13" s="19" t="s">
        <v>65</v>
      </c>
      <c r="D13" s="14">
        <v>0.0</v>
      </c>
      <c r="E13" s="19" t="s">
        <v>64</v>
      </c>
      <c r="F13" s="14">
        <v>6.0</v>
      </c>
      <c r="G13" s="19" t="s">
        <v>61</v>
      </c>
      <c r="H13" s="14">
        <v>2.0</v>
      </c>
      <c r="I13" s="3" t="s">
        <v>59</v>
      </c>
      <c r="J13" s="3"/>
      <c r="K13" s="19" t="s">
        <v>62</v>
      </c>
      <c r="L13" s="14">
        <v>12.0</v>
      </c>
      <c r="M13" s="19" t="s">
        <v>60</v>
      </c>
      <c r="N13" s="14">
        <v>26.0</v>
      </c>
      <c r="O13" s="19" t="s">
        <v>81</v>
      </c>
      <c r="P13" s="14">
        <v>9.0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 t="s">
        <v>58</v>
      </c>
      <c r="B14" s="14">
        <v>36.0</v>
      </c>
      <c r="C14" s="3" t="s">
        <v>73</v>
      </c>
      <c r="D14" s="3"/>
      <c r="E14" s="3" t="s">
        <v>80</v>
      </c>
      <c r="F14" s="14"/>
      <c r="G14" s="3" t="s">
        <v>69</v>
      </c>
      <c r="H14" s="3"/>
      <c r="I14" s="3" t="s">
        <v>75</v>
      </c>
      <c r="J14" s="14"/>
      <c r="K14" s="3" t="s">
        <v>70</v>
      </c>
      <c r="L14" s="14"/>
      <c r="M14" s="19" t="s">
        <v>68</v>
      </c>
      <c r="N14" s="14">
        <v>10.0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74</v>
      </c>
      <c r="B15" s="3"/>
      <c r="C15" s="19" t="s">
        <v>243</v>
      </c>
      <c r="D15" s="14">
        <v>1.0</v>
      </c>
      <c r="E15" s="19" t="s">
        <v>72</v>
      </c>
      <c r="F15" s="14">
        <v>9.0</v>
      </c>
      <c r="G15" s="19" t="s">
        <v>77</v>
      </c>
      <c r="H15" s="14">
        <v>0.0</v>
      </c>
      <c r="I15" s="19" t="s">
        <v>67</v>
      </c>
      <c r="J15" s="14">
        <v>15.0</v>
      </c>
      <c r="K15" s="19" t="s">
        <v>78</v>
      </c>
      <c r="L15" s="14">
        <v>11.0</v>
      </c>
      <c r="M15" s="3" t="s">
        <v>83</v>
      </c>
      <c r="N15" s="3"/>
      <c r="O15" s="3" t="s">
        <v>71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 t="s">
        <v>82</v>
      </c>
      <c r="B16" s="14">
        <v>3.0</v>
      </c>
      <c r="C16" s="3" t="s">
        <v>63</v>
      </c>
      <c r="D16" s="3"/>
      <c r="E16" s="3" t="s">
        <v>88</v>
      </c>
      <c r="F16" s="14"/>
      <c r="G16" s="3" t="s">
        <v>214</v>
      </c>
      <c r="H16" s="3"/>
      <c r="I16" s="19" t="s">
        <v>263</v>
      </c>
      <c r="J16" s="14">
        <v>1.0</v>
      </c>
      <c r="K16" s="3" t="s">
        <v>86</v>
      </c>
      <c r="L16" s="14"/>
      <c r="M16" s="3" t="s">
        <v>76</v>
      </c>
      <c r="N16" s="14"/>
      <c r="O16" s="19" t="s">
        <v>87</v>
      </c>
      <c r="P16" s="14">
        <v>4.0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90</v>
      </c>
      <c r="B18" s="17"/>
      <c r="C18" s="17" t="s">
        <v>90</v>
      </c>
      <c r="D18" s="17"/>
      <c r="E18" s="17" t="s">
        <v>90</v>
      </c>
      <c r="F18" s="17"/>
      <c r="G18" s="17" t="s">
        <v>90</v>
      </c>
      <c r="H18" s="17"/>
      <c r="I18" s="17" t="s">
        <v>90</v>
      </c>
      <c r="J18" s="17"/>
      <c r="K18" s="17" t="s">
        <v>90</v>
      </c>
      <c r="L18" s="17"/>
      <c r="M18" s="17" t="s">
        <v>90</v>
      </c>
      <c r="N18" s="17"/>
      <c r="O18" s="17" t="s">
        <v>90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 t="s">
        <v>91</v>
      </c>
      <c r="B19" s="14">
        <v>23.0</v>
      </c>
      <c r="C19" s="19" t="s">
        <v>99</v>
      </c>
      <c r="D19" s="14">
        <v>3.0</v>
      </c>
      <c r="E19" s="19" t="s">
        <v>97</v>
      </c>
      <c r="F19" s="14">
        <v>6.0</v>
      </c>
      <c r="G19" s="19" t="s">
        <v>94</v>
      </c>
      <c r="H19" s="14">
        <v>23.0</v>
      </c>
      <c r="I19" s="19" t="s">
        <v>92</v>
      </c>
      <c r="J19" s="14">
        <v>5.0</v>
      </c>
      <c r="K19" s="3" t="s">
        <v>95</v>
      </c>
      <c r="L19" s="3"/>
      <c r="M19" s="19" t="s">
        <v>100</v>
      </c>
      <c r="N19" s="14">
        <v>11.0</v>
      </c>
      <c r="O19" s="3" t="s">
        <v>96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98</v>
      </c>
      <c r="B20" s="3"/>
      <c r="C20" s="3" t="s">
        <v>106</v>
      </c>
      <c r="D20" s="14"/>
      <c r="E20" s="19" t="s">
        <v>113</v>
      </c>
      <c r="F20" s="14">
        <v>15.0</v>
      </c>
      <c r="G20" s="19" t="s">
        <v>102</v>
      </c>
      <c r="H20" s="14">
        <v>3.0</v>
      </c>
      <c r="I20" s="19" t="s">
        <v>108</v>
      </c>
      <c r="J20" s="14">
        <v>11.0</v>
      </c>
      <c r="K20" s="19" t="s">
        <v>103</v>
      </c>
      <c r="L20" s="14">
        <v>17.0</v>
      </c>
      <c r="M20" s="19" t="s">
        <v>112</v>
      </c>
      <c r="N20" s="14">
        <v>4.0</v>
      </c>
      <c r="O20" s="19" t="s">
        <v>93</v>
      </c>
      <c r="P20" s="14">
        <v>16.0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115</v>
      </c>
      <c r="B21" s="3"/>
      <c r="C21" s="3" t="s">
        <v>114</v>
      </c>
      <c r="D21" s="3"/>
      <c r="E21" s="3" t="s">
        <v>121</v>
      </c>
      <c r="F21" s="14"/>
      <c r="G21" s="3" t="s">
        <v>110</v>
      </c>
      <c r="H21" s="14"/>
      <c r="I21" s="3" t="s">
        <v>116</v>
      </c>
      <c r="J21" s="3"/>
      <c r="K21" s="19" t="s">
        <v>111</v>
      </c>
      <c r="L21" s="14">
        <v>3.0</v>
      </c>
      <c r="M21" s="3" t="s">
        <v>117</v>
      </c>
      <c r="N21" s="3"/>
      <c r="O21" s="19" t="s">
        <v>101</v>
      </c>
      <c r="P21" s="14">
        <v>16.0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9" t="s">
        <v>107</v>
      </c>
      <c r="B22" s="14">
        <v>16.0</v>
      </c>
      <c r="C22" s="19" t="s">
        <v>122</v>
      </c>
      <c r="D22" s="14">
        <v>8.0</v>
      </c>
      <c r="E22" s="3" t="s">
        <v>105</v>
      </c>
      <c r="F22" s="3"/>
      <c r="G22" s="3" t="s">
        <v>218</v>
      </c>
      <c r="H22" s="3"/>
      <c r="I22" s="3" t="s">
        <v>104</v>
      </c>
      <c r="J22" s="14"/>
      <c r="K22" s="3" t="s">
        <v>119</v>
      </c>
      <c r="L22" s="3"/>
      <c r="M22" s="23" t="s">
        <v>264</v>
      </c>
      <c r="O22" s="14" t="s">
        <v>120</v>
      </c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 t="s">
        <v>123</v>
      </c>
      <c r="B24" s="17"/>
      <c r="C24" s="17" t="s">
        <v>123</v>
      </c>
      <c r="D24" s="17"/>
      <c r="E24" s="17" t="s">
        <v>123</v>
      </c>
      <c r="F24" s="17"/>
      <c r="G24" s="17" t="s">
        <v>123</v>
      </c>
      <c r="H24" s="17"/>
      <c r="I24" s="17" t="s">
        <v>123</v>
      </c>
      <c r="J24" s="17"/>
      <c r="K24" s="17" t="s">
        <v>123</v>
      </c>
      <c r="L24" s="17"/>
      <c r="M24" s="17" t="s">
        <v>123</v>
      </c>
      <c r="N24" s="17"/>
      <c r="O24" s="17" t="s">
        <v>123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9" t="s">
        <v>124</v>
      </c>
      <c r="B25" s="14">
        <v>2.0</v>
      </c>
      <c r="C25" s="19" t="s">
        <v>131</v>
      </c>
      <c r="D25" s="14">
        <v>8.0</v>
      </c>
      <c r="E25" s="19" t="s">
        <v>138</v>
      </c>
      <c r="F25" s="14">
        <v>0.0</v>
      </c>
      <c r="G25" s="3" t="s">
        <v>127</v>
      </c>
      <c r="H25" s="14"/>
      <c r="I25" s="3" t="s">
        <v>125</v>
      </c>
      <c r="J25" s="14"/>
      <c r="K25" s="19" t="s">
        <v>128</v>
      </c>
      <c r="L25" s="14">
        <v>3.0</v>
      </c>
      <c r="M25" s="19" t="s">
        <v>126</v>
      </c>
      <c r="N25" s="14">
        <v>15.0</v>
      </c>
      <c r="O25" s="3" t="s">
        <v>129</v>
      </c>
      <c r="P25" s="14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140</v>
      </c>
      <c r="B26" s="3"/>
      <c r="C26" s="3" t="s">
        <v>139</v>
      </c>
      <c r="D26" s="3"/>
      <c r="E26" s="3" t="s">
        <v>130</v>
      </c>
      <c r="F26" s="3"/>
      <c r="G26" s="19" t="s">
        <v>135</v>
      </c>
      <c r="H26" s="14">
        <v>9.0</v>
      </c>
      <c r="I26" s="19" t="s">
        <v>133</v>
      </c>
      <c r="J26" s="14">
        <v>8.0</v>
      </c>
      <c r="K26" s="3" t="s">
        <v>136</v>
      </c>
      <c r="L26" s="3"/>
      <c r="M26" s="3" t="s">
        <v>244</v>
      </c>
      <c r="N26" s="14"/>
      <c r="O26" s="19" t="s">
        <v>137</v>
      </c>
      <c r="P26" s="14">
        <v>6.0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132</v>
      </c>
      <c r="B27" s="3"/>
      <c r="C27" s="3" t="s">
        <v>147</v>
      </c>
      <c r="D27" s="3"/>
      <c r="E27" s="3" t="s">
        <v>146</v>
      </c>
      <c r="F27" s="3"/>
      <c r="G27" s="3" t="s">
        <v>143</v>
      </c>
      <c r="H27" s="3"/>
      <c r="I27" s="3" t="s">
        <v>141</v>
      </c>
      <c r="J27" s="3"/>
      <c r="K27" s="3" t="s">
        <v>144</v>
      </c>
      <c r="L27" s="3"/>
      <c r="M27" s="3" t="s">
        <v>142</v>
      </c>
      <c r="N27" s="3"/>
      <c r="O27" s="3" t="s">
        <v>145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148</v>
      </c>
      <c r="B29" s="17"/>
      <c r="C29" s="17" t="s">
        <v>148</v>
      </c>
      <c r="D29" s="17"/>
      <c r="E29" s="17" t="s">
        <v>148</v>
      </c>
      <c r="F29" s="17"/>
      <c r="G29" s="17" t="s">
        <v>148</v>
      </c>
      <c r="H29" s="17"/>
      <c r="I29" s="17" t="s">
        <v>148</v>
      </c>
      <c r="J29" s="17"/>
      <c r="K29" s="17" t="s">
        <v>148</v>
      </c>
      <c r="L29" s="17"/>
      <c r="M29" s="17" t="s">
        <v>148</v>
      </c>
      <c r="N29" s="17"/>
      <c r="O29" s="17" t="s">
        <v>148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3" t="s">
        <v>149</v>
      </c>
      <c r="B30" s="14"/>
      <c r="C30" s="19" t="s">
        <v>156</v>
      </c>
      <c r="D30" s="14">
        <v>4.0</v>
      </c>
      <c r="E30" s="3" t="s">
        <v>155</v>
      </c>
      <c r="F30" s="14"/>
      <c r="G30" s="3" t="s">
        <v>152</v>
      </c>
      <c r="H30" s="14"/>
      <c r="I30" s="19" t="s">
        <v>150</v>
      </c>
      <c r="J30" s="14">
        <v>9.0</v>
      </c>
      <c r="K30" s="19" t="s">
        <v>153</v>
      </c>
      <c r="L30" s="14">
        <v>5.0</v>
      </c>
      <c r="M30" s="19" t="s">
        <v>151</v>
      </c>
      <c r="N30" s="14">
        <v>6.0</v>
      </c>
      <c r="O30" s="19" t="s">
        <v>154</v>
      </c>
      <c r="P30" s="14">
        <v>11.0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157</v>
      </c>
      <c r="B31" s="14">
        <v>4.0</v>
      </c>
      <c r="C31" s="3" t="s">
        <v>164</v>
      </c>
      <c r="D31" s="3"/>
      <c r="E31" s="19" t="s">
        <v>163</v>
      </c>
      <c r="F31" s="14">
        <v>3.0</v>
      </c>
      <c r="G31" s="19" t="s">
        <v>160</v>
      </c>
      <c r="H31" s="14">
        <v>10.0</v>
      </c>
      <c r="I31" s="3" t="s">
        <v>158</v>
      </c>
      <c r="J31" s="3"/>
      <c r="K31" s="3" t="s">
        <v>161</v>
      </c>
      <c r="L31" s="3"/>
      <c r="M31" s="3" t="s">
        <v>159</v>
      </c>
      <c r="N31" s="14"/>
      <c r="O31" s="3" t="s">
        <v>162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165</v>
      </c>
      <c r="B33" s="17"/>
      <c r="C33" s="17" t="s">
        <v>165</v>
      </c>
      <c r="D33" s="17"/>
      <c r="E33" s="17" t="s">
        <v>165</v>
      </c>
      <c r="F33" s="17"/>
      <c r="G33" s="17" t="s">
        <v>165</v>
      </c>
      <c r="H33" s="17"/>
      <c r="I33" s="17" t="s">
        <v>165</v>
      </c>
      <c r="J33" s="17"/>
      <c r="K33" s="17" t="s">
        <v>165</v>
      </c>
      <c r="L33" s="17"/>
      <c r="M33" s="17" t="s">
        <v>165</v>
      </c>
      <c r="N33" s="17"/>
      <c r="O33" s="17" t="s">
        <v>165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9" t="s">
        <v>166</v>
      </c>
      <c r="B34" s="14">
        <v>6.0</v>
      </c>
      <c r="C34" s="19" t="s">
        <v>173</v>
      </c>
      <c r="D34" s="14">
        <v>0.0</v>
      </c>
      <c r="E34" s="19" t="s">
        <v>255</v>
      </c>
      <c r="F34" s="14">
        <v>-3.0</v>
      </c>
      <c r="G34" s="19" t="s">
        <v>169</v>
      </c>
      <c r="H34" s="14">
        <v>8.0</v>
      </c>
      <c r="I34" s="3" t="s">
        <v>167</v>
      </c>
      <c r="J34" s="14"/>
      <c r="K34" s="19" t="s">
        <v>170</v>
      </c>
      <c r="L34" s="14">
        <v>8.0</v>
      </c>
      <c r="M34" s="19" t="s">
        <v>179</v>
      </c>
      <c r="N34" s="14">
        <v>3.0</v>
      </c>
      <c r="O34" s="3" t="s">
        <v>171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180</v>
      </c>
      <c r="B35" s="3"/>
      <c r="C35" s="3" t="s">
        <v>181</v>
      </c>
      <c r="D35" s="3"/>
      <c r="E35" s="3" t="s">
        <v>172</v>
      </c>
      <c r="G35" s="3" t="s">
        <v>177</v>
      </c>
      <c r="H35" s="14"/>
      <c r="I35" s="19" t="s">
        <v>175</v>
      </c>
      <c r="J35" s="14">
        <v>-1.0</v>
      </c>
      <c r="K35" s="3" t="s">
        <v>178</v>
      </c>
      <c r="L35" s="3"/>
      <c r="M35" s="3" t="s">
        <v>176</v>
      </c>
      <c r="N35" s="3"/>
      <c r="O35" s="19" t="s">
        <v>168</v>
      </c>
      <c r="P35" s="14">
        <v>-1.0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182</v>
      </c>
      <c r="B37" s="17"/>
      <c r="C37" s="17" t="s">
        <v>182</v>
      </c>
      <c r="D37" s="17"/>
      <c r="E37" s="17" t="s">
        <v>182</v>
      </c>
      <c r="F37" s="17"/>
      <c r="G37" s="17" t="s">
        <v>182</v>
      </c>
      <c r="H37" s="17"/>
      <c r="I37" s="17" t="s">
        <v>182</v>
      </c>
      <c r="J37" s="17"/>
      <c r="K37" s="17" t="s">
        <v>182</v>
      </c>
      <c r="L37" s="17"/>
      <c r="M37" s="17" t="s">
        <v>182</v>
      </c>
      <c r="N37" s="17"/>
      <c r="O37" s="17" t="s">
        <v>182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9" t="s">
        <v>183</v>
      </c>
      <c r="B38" s="14">
        <v>2.0</v>
      </c>
      <c r="C38" s="19" t="s">
        <v>190</v>
      </c>
      <c r="D38" s="14">
        <v>0.0</v>
      </c>
      <c r="E38" s="19" t="s">
        <v>189</v>
      </c>
      <c r="F38" s="14">
        <v>-1.0</v>
      </c>
      <c r="G38" s="3" t="s">
        <v>186</v>
      </c>
      <c r="H38" s="14"/>
      <c r="I38" s="19" t="s">
        <v>184</v>
      </c>
      <c r="J38" s="14">
        <v>0.0</v>
      </c>
      <c r="K38" s="19" t="s">
        <v>187</v>
      </c>
      <c r="L38" s="14">
        <v>3.0</v>
      </c>
      <c r="M38" s="3" t="s">
        <v>185</v>
      </c>
      <c r="N38" s="14"/>
      <c r="O38" s="3" t="s">
        <v>188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191</v>
      </c>
      <c r="B39" s="3"/>
      <c r="C39" s="3" t="s">
        <v>198</v>
      </c>
      <c r="D39" s="3"/>
      <c r="E39" s="3" t="s">
        <v>197</v>
      </c>
      <c r="F39" s="14"/>
      <c r="G39" s="19" t="s">
        <v>194</v>
      </c>
      <c r="H39" s="14">
        <v>4.0</v>
      </c>
      <c r="I39" s="3" t="s">
        <v>192</v>
      </c>
      <c r="J39" s="14"/>
      <c r="K39" s="3" t="s">
        <v>195</v>
      </c>
      <c r="L39" s="3"/>
      <c r="M39" s="19" t="s">
        <v>193</v>
      </c>
      <c r="N39" s="14">
        <v>-1.0</v>
      </c>
      <c r="O39" s="19" t="s">
        <v>196</v>
      </c>
      <c r="P39" s="14">
        <v>-3.0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>
        <f>SUM(B8:B39)</f>
        <v>128</v>
      </c>
      <c r="C40" s="3"/>
      <c r="D40" s="3">
        <f>SUM(D8:D39)</f>
        <v>60</v>
      </c>
      <c r="E40" s="3"/>
      <c r="F40" s="3">
        <f>SUM(F8:F39)</f>
        <v>37</v>
      </c>
      <c r="G40" s="3"/>
      <c r="H40" s="3">
        <f>SUM(H8:H39)</f>
        <v>87</v>
      </c>
      <c r="I40" s="3"/>
      <c r="J40" s="3">
        <f>SUM(J8:J39)</f>
        <v>91</v>
      </c>
      <c r="K40" s="3"/>
      <c r="L40" s="3">
        <f>SUM(L8:L39)</f>
        <v>79</v>
      </c>
      <c r="M40" s="3"/>
      <c r="N40" s="3">
        <f>SUM(N8:N39)</f>
        <v>115</v>
      </c>
      <c r="O40" s="3"/>
      <c r="P40" s="3">
        <f>SUM(P8:P39)</f>
        <v>81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221</v>
      </c>
      <c r="B42" s="3"/>
      <c r="C42" s="3" t="s">
        <v>221</v>
      </c>
      <c r="D42" s="3"/>
      <c r="E42" s="3" t="s">
        <v>221</v>
      </c>
      <c r="F42" s="3"/>
      <c r="G42" s="3" t="s">
        <v>221</v>
      </c>
      <c r="H42" s="3"/>
      <c r="I42" s="3" t="s">
        <v>221</v>
      </c>
      <c r="J42" s="3"/>
      <c r="K42" s="3" t="s">
        <v>221</v>
      </c>
      <c r="L42" s="3"/>
      <c r="M42" s="3" t="s">
        <v>221</v>
      </c>
      <c r="N42" s="3"/>
      <c r="O42" s="3" t="s">
        <v>221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 t="s">
        <v>57</v>
      </c>
      <c r="B43" s="17"/>
      <c r="C43" s="17" t="s">
        <v>32</v>
      </c>
      <c r="D43" s="17"/>
      <c r="E43" s="17"/>
      <c r="F43" s="17"/>
      <c r="G43" s="17" t="s">
        <v>57</v>
      </c>
      <c r="H43" s="17"/>
      <c r="I43" s="17" t="s">
        <v>32</v>
      </c>
      <c r="J43" s="17"/>
      <c r="K43" s="17" t="s">
        <v>32</v>
      </c>
      <c r="L43" s="17"/>
      <c r="M43" s="17" t="s">
        <v>32</v>
      </c>
      <c r="N43" s="17"/>
      <c r="O43" s="17" t="s">
        <v>32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" t="s">
        <v>89</v>
      </c>
      <c r="B44" s="3"/>
      <c r="C44" s="3" t="s">
        <v>224</v>
      </c>
      <c r="D44" s="3"/>
      <c r="E44" s="3"/>
      <c r="F44" s="3"/>
      <c r="G44" s="3" t="s">
        <v>85</v>
      </c>
      <c r="H44" s="3"/>
      <c r="I44" s="3" t="s">
        <v>227</v>
      </c>
      <c r="J44" s="3"/>
      <c r="K44" s="3" t="s">
        <v>53</v>
      </c>
      <c r="L44" s="3"/>
      <c r="M44" s="3" t="s">
        <v>51</v>
      </c>
      <c r="N44" s="3"/>
      <c r="O44" s="3" t="s">
        <v>223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 t="s">
        <v>90</v>
      </c>
      <c r="B45" s="17"/>
      <c r="C45" s="17" t="s">
        <v>57</v>
      </c>
      <c r="D45" s="17"/>
      <c r="E45" s="17"/>
      <c r="F45" s="17"/>
      <c r="G45" s="17" t="s">
        <v>90</v>
      </c>
      <c r="H45" s="17"/>
      <c r="I45" s="17" t="s">
        <v>57</v>
      </c>
      <c r="J45" s="17"/>
      <c r="K45" s="17" t="s">
        <v>90</v>
      </c>
      <c r="L45" s="17"/>
      <c r="M45" s="17" t="s">
        <v>57</v>
      </c>
      <c r="N45" s="17"/>
      <c r="O45" s="17" t="s">
        <v>57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3" t="s">
        <v>229</v>
      </c>
      <c r="B46" s="3"/>
      <c r="C46" s="3" t="s">
        <v>84</v>
      </c>
      <c r="D46" s="3"/>
      <c r="E46" s="3"/>
      <c r="F46" s="3"/>
      <c r="G46" s="3" t="s">
        <v>118</v>
      </c>
      <c r="H46" s="3"/>
      <c r="I46" s="3" t="s">
        <v>231</v>
      </c>
      <c r="J46" s="3"/>
      <c r="K46" s="3" t="s">
        <v>225</v>
      </c>
      <c r="L46" s="3"/>
      <c r="M46" s="3" t="s">
        <v>265</v>
      </c>
      <c r="N46" s="3"/>
      <c r="O46" s="3" t="s">
        <v>228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7" t="s">
        <v>148</v>
      </c>
      <c r="B47" s="17"/>
      <c r="C47" s="17" t="s">
        <v>90</v>
      </c>
      <c r="D47" s="17"/>
      <c r="E47" s="17"/>
      <c r="F47" s="17"/>
      <c r="G47" s="17" t="s">
        <v>123</v>
      </c>
      <c r="H47" s="17"/>
      <c r="I47" s="17" t="s">
        <v>90</v>
      </c>
      <c r="J47" s="17"/>
      <c r="K47" s="17" t="s">
        <v>123</v>
      </c>
      <c r="L47" s="17"/>
      <c r="M47" s="17" t="s">
        <v>90</v>
      </c>
      <c r="N47" s="17"/>
      <c r="O47" s="17" t="s">
        <v>90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3" t="s">
        <v>222</v>
      </c>
      <c r="B48" s="3"/>
      <c r="C48" s="3" t="s">
        <v>226</v>
      </c>
      <c r="D48" s="3"/>
      <c r="E48" s="3"/>
      <c r="F48" s="3"/>
      <c r="G48" s="3" t="s">
        <v>235</v>
      </c>
      <c r="H48" s="3"/>
      <c r="I48" s="3" t="s">
        <v>236</v>
      </c>
      <c r="J48" s="3"/>
      <c r="K48" s="3" t="s">
        <v>230</v>
      </c>
      <c r="L48" s="3"/>
      <c r="M48" s="3" t="s">
        <v>109</v>
      </c>
      <c r="N48" s="3"/>
      <c r="O48" s="3" t="s">
        <v>232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 t="s">
        <v>165</v>
      </c>
      <c r="B49" s="17"/>
      <c r="C49" s="17" t="s">
        <v>123</v>
      </c>
      <c r="D49" s="17"/>
      <c r="E49" s="17"/>
      <c r="F49" s="17"/>
      <c r="G49" s="17" t="s">
        <v>165</v>
      </c>
      <c r="H49" s="17"/>
      <c r="I49" s="17" t="s">
        <v>123</v>
      </c>
      <c r="J49" s="17"/>
      <c r="K49" s="17" t="s">
        <v>182</v>
      </c>
      <c r="L49" s="17"/>
      <c r="M49" s="17" t="s">
        <v>123</v>
      </c>
      <c r="N49" s="17"/>
      <c r="O49" s="17" t="s">
        <v>123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" t="s">
        <v>174</v>
      </c>
      <c r="B50" s="3"/>
      <c r="C50" s="3" t="s">
        <v>233</v>
      </c>
      <c r="D50" s="3"/>
      <c r="E50" s="3"/>
      <c r="F50" s="3"/>
      <c r="G50" s="3" t="s">
        <v>238</v>
      </c>
      <c r="H50" s="3"/>
      <c r="I50" s="3" t="s">
        <v>239</v>
      </c>
      <c r="J50" s="3"/>
      <c r="K50" s="3" t="s">
        <v>234</v>
      </c>
      <c r="L50" s="3"/>
      <c r="M50" s="3" t="s">
        <v>134</v>
      </c>
      <c r="N50" s="3"/>
      <c r="O50" s="3" t="s">
        <v>237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15.13"/>
    <col customWidth="1" min="15" max="15" width="15.5"/>
  </cols>
  <sheetData>
    <row r="1">
      <c r="A1" s="1"/>
      <c r="B1" s="3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257</v>
      </c>
      <c r="B3" s="3"/>
      <c r="C3" s="12" t="s">
        <v>261</v>
      </c>
      <c r="D3" s="3"/>
      <c r="E3" s="11" t="s">
        <v>9</v>
      </c>
      <c r="F3" s="3"/>
      <c r="G3" s="12" t="s">
        <v>258</v>
      </c>
      <c r="H3" s="3"/>
      <c r="I3" s="12" t="s">
        <v>8</v>
      </c>
      <c r="J3" s="3"/>
      <c r="K3" s="12" t="s">
        <v>259</v>
      </c>
      <c r="L3" s="3"/>
      <c r="M3" s="11" t="s">
        <v>252</v>
      </c>
      <c r="N3" s="3"/>
      <c r="O3" s="12" t="s">
        <v>260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15</v>
      </c>
      <c r="B4" s="14"/>
      <c r="C4" s="3" t="s">
        <v>21</v>
      </c>
      <c r="D4" s="3"/>
      <c r="E4" s="15" t="s">
        <v>17</v>
      </c>
      <c r="F4" s="3"/>
      <c r="G4" s="3" t="s">
        <v>19</v>
      </c>
      <c r="H4" s="3"/>
      <c r="I4" s="3" t="s">
        <v>16</v>
      </c>
      <c r="J4" s="3"/>
      <c r="K4" s="3" t="s">
        <v>22</v>
      </c>
      <c r="L4" s="3"/>
      <c r="M4" s="3" t="s">
        <v>18</v>
      </c>
      <c r="N4" s="3"/>
      <c r="O4" s="3" t="s">
        <v>20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23</v>
      </c>
      <c r="B5" s="3"/>
      <c r="C5" s="14" t="s">
        <v>29</v>
      </c>
      <c r="D5" s="3"/>
      <c r="E5" s="14" t="s">
        <v>25</v>
      </c>
      <c r="F5" s="3"/>
      <c r="G5" s="14" t="s">
        <v>27</v>
      </c>
      <c r="H5" s="3"/>
      <c r="I5" s="14" t="s">
        <v>24</v>
      </c>
      <c r="J5" s="3"/>
      <c r="K5" s="14" t="s">
        <v>30</v>
      </c>
      <c r="L5" s="3"/>
      <c r="M5" s="14" t="s">
        <v>26</v>
      </c>
      <c r="N5" s="3"/>
      <c r="O5" s="14" t="s">
        <v>28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6" t="s">
        <v>31</v>
      </c>
      <c r="C6" s="3"/>
      <c r="D6" s="16" t="s">
        <v>31</v>
      </c>
      <c r="E6" s="3"/>
      <c r="F6" s="16" t="s">
        <v>31</v>
      </c>
      <c r="G6" s="3"/>
      <c r="H6" s="16" t="s">
        <v>31</v>
      </c>
      <c r="I6" s="3"/>
      <c r="J6" s="16" t="s">
        <v>31</v>
      </c>
      <c r="K6" s="3"/>
      <c r="L6" s="16" t="s">
        <v>31</v>
      </c>
      <c r="M6" s="3"/>
      <c r="N6" s="16" t="s">
        <v>31</v>
      </c>
      <c r="O6" s="3"/>
      <c r="P6" s="16" t="s">
        <v>31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7" t="s">
        <v>32</v>
      </c>
      <c r="B7" s="17"/>
      <c r="C7" s="17" t="s">
        <v>32</v>
      </c>
      <c r="D7" s="17"/>
      <c r="E7" s="17" t="s">
        <v>32</v>
      </c>
      <c r="F7" s="17"/>
      <c r="G7" s="17" t="s">
        <v>32</v>
      </c>
      <c r="H7" s="17"/>
      <c r="I7" s="17" t="s">
        <v>32</v>
      </c>
      <c r="J7" s="17"/>
      <c r="K7" s="17" t="s">
        <v>32</v>
      </c>
      <c r="L7" s="17"/>
      <c r="M7" s="17" t="s">
        <v>32</v>
      </c>
      <c r="N7" s="17"/>
      <c r="O7" s="17" t="s">
        <v>32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9" t="s">
        <v>33</v>
      </c>
      <c r="B8" s="14">
        <v>46.0</v>
      </c>
      <c r="C8" s="19" t="s">
        <v>39</v>
      </c>
      <c r="D8" s="14">
        <v>23.0</v>
      </c>
      <c r="E8" s="3" t="s">
        <v>35</v>
      </c>
      <c r="F8" s="3"/>
      <c r="G8" s="19" t="s">
        <v>37</v>
      </c>
      <c r="H8" s="14">
        <v>14.0</v>
      </c>
      <c r="I8" s="3" t="s">
        <v>34</v>
      </c>
      <c r="J8" s="3"/>
      <c r="K8" s="19" t="s">
        <v>40</v>
      </c>
      <c r="L8" s="14">
        <v>27.0</v>
      </c>
      <c r="M8" s="3" t="s">
        <v>36</v>
      </c>
      <c r="N8" s="3"/>
      <c r="O8" s="3" t="s">
        <v>38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41</v>
      </c>
      <c r="B9" s="3"/>
      <c r="C9" s="3" t="s">
        <v>47</v>
      </c>
      <c r="D9" s="3"/>
      <c r="E9" s="19" t="s">
        <v>43</v>
      </c>
      <c r="F9" s="14">
        <v>21.0</v>
      </c>
      <c r="G9" s="3" t="s">
        <v>45</v>
      </c>
      <c r="H9" s="3"/>
      <c r="I9" s="3" t="s">
        <v>42</v>
      </c>
      <c r="J9" s="3"/>
      <c r="K9" s="3" t="s">
        <v>48</v>
      </c>
      <c r="L9" s="3"/>
      <c r="M9" s="19" t="s">
        <v>44</v>
      </c>
      <c r="N9" s="14">
        <v>28.0</v>
      </c>
      <c r="O9" s="19" t="s">
        <v>242</v>
      </c>
      <c r="P9" s="14">
        <v>15.0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49</v>
      </c>
      <c r="B10" s="3"/>
      <c r="C10" s="3" t="s">
        <v>55</v>
      </c>
      <c r="D10" s="3"/>
      <c r="E10" s="3" t="s">
        <v>46</v>
      </c>
      <c r="F10" s="3"/>
      <c r="G10" s="3" t="s">
        <v>254</v>
      </c>
      <c r="H10" s="3"/>
      <c r="I10" s="19" t="s">
        <v>50</v>
      </c>
      <c r="J10" s="14">
        <v>14.0</v>
      </c>
      <c r="K10" s="3" t="s">
        <v>56</v>
      </c>
      <c r="L10" s="3"/>
      <c r="M10" s="3" t="s">
        <v>52</v>
      </c>
      <c r="N10" s="3"/>
      <c r="O10" s="3" t="s">
        <v>54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57</v>
      </c>
      <c r="B12" s="17"/>
      <c r="C12" s="17" t="s">
        <v>57</v>
      </c>
      <c r="D12" s="17"/>
      <c r="E12" s="17" t="s">
        <v>57</v>
      </c>
      <c r="F12" s="17"/>
      <c r="G12" s="17" t="s">
        <v>57</v>
      </c>
      <c r="H12" s="17"/>
      <c r="I12" s="17" t="s">
        <v>57</v>
      </c>
      <c r="J12" s="17"/>
      <c r="K12" s="17" t="s">
        <v>57</v>
      </c>
      <c r="L12" s="17"/>
      <c r="M12" s="17" t="s">
        <v>57</v>
      </c>
      <c r="N12" s="17"/>
      <c r="O12" s="17" t="s">
        <v>57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9" t="s">
        <v>66</v>
      </c>
      <c r="B13" s="14">
        <v>7.0</v>
      </c>
      <c r="C13" s="19" t="s">
        <v>64</v>
      </c>
      <c r="D13" s="14">
        <v>17.0</v>
      </c>
      <c r="E13" s="3" t="s">
        <v>60</v>
      </c>
      <c r="F13" s="3"/>
      <c r="G13" s="19" t="s">
        <v>62</v>
      </c>
      <c r="H13" s="14">
        <v>12.0</v>
      </c>
      <c r="I13" s="3" t="s">
        <v>59</v>
      </c>
      <c r="J13" s="3"/>
      <c r="K13" s="3" t="s">
        <v>65</v>
      </c>
      <c r="L13" s="3"/>
      <c r="M13" s="19" t="s">
        <v>61</v>
      </c>
      <c r="N13" s="14">
        <v>11.0</v>
      </c>
      <c r="O13" s="19" t="s">
        <v>81</v>
      </c>
      <c r="P13" s="14">
        <v>3.0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 t="s">
        <v>58</v>
      </c>
      <c r="B14" s="14">
        <v>46.0</v>
      </c>
      <c r="C14" s="3" t="s">
        <v>80</v>
      </c>
      <c r="D14" s="3"/>
      <c r="E14" s="19" t="s">
        <v>68</v>
      </c>
      <c r="F14" s="14">
        <v>15.0</v>
      </c>
      <c r="G14" s="3" t="s">
        <v>70</v>
      </c>
      <c r="H14" s="3"/>
      <c r="I14" s="19" t="s">
        <v>75</v>
      </c>
      <c r="J14" s="14">
        <v>2.0</v>
      </c>
      <c r="K14" s="19" t="s">
        <v>73</v>
      </c>
      <c r="L14" s="14">
        <v>0.0</v>
      </c>
      <c r="M14" s="3" t="s">
        <v>69</v>
      </c>
      <c r="N14" s="3"/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74</v>
      </c>
      <c r="B15" s="3"/>
      <c r="C15" s="19" t="s">
        <v>72</v>
      </c>
      <c r="D15" s="14">
        <v>0.0</v>
      </c>
      <c r="E15" s="3" t="s">
        <v>83</v>
      </c>
      <c r="F15" s="3"/>
      <c r="G15" s="19" t="s">
        <v>78</v>
      </c>
      <c r="H15" s="14">
        <v>10.0</v>
      </c>
      <c r="I15" s="3" t="s">
        <v>67</v>
      </c>
      <c r="J15" s="3"/>
      <c r="K15" s="3" t="s">
        <v>243</v>
      </c>
      <c r="L15" s="3"/>
      <c r="M15" s="3" t="s">
        <v>77</v>
      </c>
      <c r="N15" s="3"/>
      <c r="O15" s="3" t="s">
        <v>71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82</v>
      </c>
      <c r="B16" s="14"/>
      <c r="C16" s="3" t="s">
        <v>88</v>
      </c>
      <c r="D16" s="3"/>
      <c r="E16" s="19" t="s">
        <v>76</v>
      </c>
      <c r="F16" s="14">
        <v>3.0</v>
      </c>
      <c r="G16" s="3" t="s">
        <v>86</v>
      </c>
      <c r="H16" s="3"/>
      <c r="I16" s="19" t="s">
        <v>263</v>
      </c>
      <c r="J16" s="14">
        <v>4.0</v>
      </c>
      <c r="K16" s="19" t="s">
        <v>63</v>
      </c>
      <c r="L16" s="14">
        <v>6.0</v>
      </c>
      <c r="M16" s="19" t="s">
        <v>214</v>
      </c>
      <c r="N16" s="14">
        <v>5.0</v>
      </c>
      <c r="O16" s="19" t="s">
        <v>87</v>
      </c>
      <c r="P16" s="14">
        <v>9.0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90</v>
      </c>
      <c r="B18" s="17"/>
      <c r="C18" s="17" t="s">
        <v>90</v>
      </c>
      <c r="D18" s="17"/>
      <c r="E18" s="17" t="s">
        <v>90</v>
      </c>
      <c r="F18" s="17"/>
      <c r="G18" s="17" t="s">
        <v>90</v>
      </c>
      <c r="H18" s="17"/>
      <c r="I18" s="17" t="s">
        <v>90</v>
      </c>
      <c r="J18" s="17"/>
      <c r="K18" s="17" t="s">
        <v>90</v>
      </c>
      <c r="L18" s="17"/>
      <c r="M18" s="17" t="s">
        <v>90</v>
      </c>
      <c r="N18" s="17"/>
      <c r="O18" s="17" t="s">
        <v>90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9" t="s">
        <v>91</v>
      </c>
      <c r="B19" s="14">
        <v>21.0</v>
      </c>
      <c r="C19" s="19" t="s">
        <v>97</v>
      </c>
      <c r="D19" s="14">
        <v>11.0</v>
      </c>
      <c r="E19" s="19" t="s">
        <v>100</v>
      </c>
      <c r="F19" s="14">
        <v>13.0</v>
      </c>
      <c r="G19" s="19" t="s">
        <v>95</v>
      </c>
      <c r="H19" s="14">
        <v>0.0</v>
      </c>
      <c r="I19" s="3" t="s">
        <v>92</v>
      </c>
      <c r="J19" s="3"/>
      <c r="K19" s="3" t="s">
        <v>99</v>
      </c>
      <c r="L19" s="3"/>
      <c r="M19" s="19" t="s">
        <v>94</v>
      </c>
      <c r="N19" s="14">
        <v>23.0</v>
      </c>
      <c r="O19" s="3" t="s">
        <v>96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98</v>
      </c>
      <c r="B20" s="3"/>
      <c r="C20" s="19" t="s">
        <v>113</v>
      </c>
      <c r="D20" s="14">
        <v>6.0</v>
      </c>
      <c r="E20" s="3" t="s">
        <v>120</v>
      </c>
      <c r="F20" s="3"/>
      <c r="G20" s="3" t="s">
        <v>103</v>
      </c>
      <c r="H20" s="3"/>
      <c r="I20" s="19" t="s">
        <v>108</v>
      </c>
      <c r="J20" s="14">
        <v>9.0</v>
      </c>
      <c r="K20" s="19" t="s">
        <v>106</v>
      </c>
      <c r="L20" s="14">
        <v>4.0</v>
      </c>
      <c r="M20" s="19" t="s">
        <v>102</v>
      </c>
      <c r="N20" s="14">
        <v>2.0</v>
      </c>
      <c r="O20" s="19" t="s">
        <v>93</v>
      </c>
      <c r="P20" s="14">
        <v>28.0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115</v>
      </c>
      <c r="B21" s="3"/>
      <c r="C21" s="3" t="s">
        <v>121</v>
      </c>
      <c r="D21" s="3"/>
      <c r="E21" s="19" t="s">
        <v>112</v>
      </c>
      <c r="F21" s="14">
        <v>3.0</v>
      </c>
      <c r="G21" s="19" t="s">
        <v>111</v>
      </c>
      <c r="H21" s="14">
        <v>6.0</v>
      </c>
      <c r="I21" s="3" t="s">
        <v>116</v>
      </c>
      <c r="J21" s="3"/>
      <c r="K21" s="19" t="s">
        <v>114</v>
      </c>
      <c r="L21" s="14">
        <v>5.0</v>
      </c>
      <c r="M21" s="3" t="s">
        <v>110</v>
      </c>
      <c r="N21" s="3"/>
      <c r="O21" s="3" t="s">
        <v>101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9" t="s">
        <v>107</v>
      </c>
      <c r="B22" s="14">
        <v>8.0</v>
      </c>
      <c r="C22" s="3" t="s">
        <v>105</v>
      </c>
      <c r="D22" s="3"/>
      <c r="E22" s="3" t="s">
        <v>117</v>
      </c>
      <c r="F22" s="3"/>
      <c r="G22" s="3" t="s">
        <v>119</v>
      </c>
      <c r="H22" s="3"/>
      <c r="I22" s="19" t="s">
        <v>104</v>
      </c>
      <c r="J22" s="14">
        <v>2.0</v>
      </c>
      <c r="K22" s="3" t="s">
        <v>122</v>
      </c>
      <c r="L22" s="3"/>
      <c r="M22" s="3" t="s">
        <v>218</v>
      </c>
      <c r="N22" s="3"/>
      <c r="O22" s="19" t="s">
        <v>264</v>
      </c>
      <c r="P22" s="14">
        <v>1.0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 t="s">
        <v>123</v>
      </c>
      <c r="B24" s="17"/>
      <c r="C24" s="17" t="s">
        <v>123</v>
      </c>
      <c r="D24" s="17"/>
      <c r="E24" s="17" t="s">
        <v>123</v>
      </c>
      <c r="F24" s="17"/>
      <c r="G24" s="17" t="s">
        <v>123</v>
      </c>
      <c r="H24" s="17"/>
      <c r="I24" s="17" t="s">
        <v>123</v>
      </c>
      <c r="J24" s="17"/>
      <c r="K24" s="17" t="s">
        <v>123</v>
      </c>
      <c r="L24" s="17"/>
      <c r="M24" s="17" t="s">
        <v>123</v>
      </c>
      <c r="N24" s="17"/>
      <c r="O24" s="17" t="s">
        <v>123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9" t="s">
        <v>124</v>
      </c>
      <c r="B25" s="14">
        <v>3.0</v>
      </c>
      <c r="C25" s="19" t="s">
        <v>138</v>
      </c>
      <c r="D25" s="14">
        <v>10.0</v>
      </c>
      <c r="E25" s="19" t="s">
        <v>126</v>
      </c>
      <c r="F25" s="14">
        <v>16.0</v>
      </c>
      <c r="G25" s="19" t="s">
        <v>128</v>
      </c>
      <c r="H25" s="14">
        <v>11.0</v>
      </c>
      <c r="I25" s="19" t="s">
        <v>125</v>
      </c>
      <c r="J25" s="14">
        <v>3.0</v>
      </c>
      <c r="K25" s="19" t="s">
        <v>131</v>
      </c>
      <c r="L25" s="14">
        <v>2.0</v>
      </c>
      <c r="M25" s="3" t="s">
        <v>127</v>
      </c>
      <c r="N25" s="3"/>
      <c r="O25" s="19" t="s">
        <v>129</v>
      </c>
      <c r="P25" s="14">
        <v>3.0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140</v>
      </c>
      <c r="B26" s="3"/>
      <c r="C26" s="3" t="s">
        <v>130</v>
      </c>
      <c r="D26" s="3"/>
      <c r="E26" s="3" t="s">
        <v>244</v>
      </c>
      <c r="F26" s="3"/>
      <c r="G26" s="3" t="s">
        <v>136</v>
      </c>
      <c r="H26" s="3"/>
      <c r="I26" s="3" t="s">
        <v>133</v>
      </c>
      <c r="J26" s="3"/>
      <c r="K26" s="3" t="s">
        <v>139</v>
      </c>
      <c r="L26" s="3"/>
      <c r="M26" s="19" t="s">
        <v>135</v>
      </c>
      <c r="N26" s="14">
        <v>6.0</v>
      </c>
      <c r="O26" s="3" t="s">
        <v>137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132</v>
      </c>
      <c r="B27" s="3"/>
      <c r="C27" s="3" t="s">
        <v>146</v>
      </c>
      <c r="D27" s="3"/>
      <c r="E27" s="3" t="s">
        <v>142</v>
      </c>
      <c r="F27" s="3"/>
      <c r="G27" s="3" t="s">
        <v>144</v>
      </c>
      <c r="H27" s="3"/>
      <c r="I27" s="3" t="s">
        <v>141</v>
      </c>
      <c r="J27" s="3"/>
      <c r="K27" s="3" t="s">
        <v>147</v>
      </c>
      <c r="L27" s="3"/>
      <c r="M27" s="3" t="s">
        <v>143</v>
      </c>
      <c r="N27" s="3"/>
      <c r="O27" s="3" t="s">
        <v>145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148</v>
      </c>
      <c r="B29" s="17"/>
      <c r="C29" s="17" t="s">
        <v>148</v>
      </c>
      <c r="D29" s="17"/>
      <c r="E29" s="17" t="s">
        <v>148</v>
      </c>
      <c r="F29" s="17"/>
      <c r="G29" s="17" t="s">
        <v>148</v>
      </c>
      <c r="H29" s="17"/>
      <c r="I29" s="17" t="s">
        <v>148</v>
      </c>
      <c r="J29" s="17"/>
      <c r="K29" s="17" t="s">
        <v>148</v>
      </c>
      <c r="L29" s="17"/>
      <c r="M29" s="17" t="s">
        <v>148</v>
      </c>
      <c r="N29" s="17"/>
      <c r="O29" s="17" t="s">
        <v>148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3" t="s">
        <v>149</v>
      </c>
      <c r="B30" s="14"/>
      <c r="C30" s="3" t="s">
        <v>155</v>
      </c>
      <c r="D30" s="3"/>
      <c r="E30" s="19" t="s">
        <v>151</v>
      </c>
      <c r="F30" s="14">
        <v>7.0</v>
      </c>
      <c r="G30" s="19" t="s">
        <v>153</v>
      </c>
      <c r="H30" s="14">
        <v>5.0</v>
      </c>
      <c r="I30" s="19" t="s">
        <v>150</v>
      </c>
      <c r="J30" s="14">
        <v>6.0</v>
      </c>
      <c r="K30" s="19" t="s">
        <v>156</v>
      </c>
      <c r="L30" s="14">
        <v>1.0</v>
      </c>
      <c r="M30" s="3" t="s">
        <v>152</v>
      </c>
      <c r="N30" s="3"/>
      <c r="O30" s="19" t="s">
        <v>154</v>
      </c>
      <c r="P30" s="14">
        <v>10.0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9" t="s">
        <v>157</v>
      </c>
      <c r="B31" s="14">
        <v>1.0</v>
      </c>
      <c r="C31" s="19" t="s">
        <v>163</v>
      </c>
      <c r="D31" s="14">
        <v>11.0</v>
      </c>
      <c r="E31" s="3" t="s">
        <v>159</v>
      </c>
      <c r="F31" s="3"/>
      <c r="G31" s="3" t="s">
        <v>161</v>
      </c>
      <c r="H31" s="3"/>
      <c r="I31" s="3" t="s">
        <v>158</v>
      </c>
      <c r="J31" s="3"/>
      <c r="K31" s="3" t="s">
        <v>164</v>
      </c>
      <c r="L31" s="3"/>
      <c r="M31" s="19" t="s">
        <v>160</v>
      </c>
      <c r="N31" s="14">
        <v>5.0</v>
      </c>
      <c r="O31" s="3" t="s">
        <v>162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165</v>
      </c>
      <c r="B33" s="17"/>
      <c r="C33" s="17" t="s">
        <v>165</v>
      </c>
      <c r="D33" s="17"/>
      <c r="E33" s="17" t="s">
        <v>165</v>
      </c>
      <c r="F33" s="17"/>
      <c r="G33" s="17" t="s">
        <v>165</v>
      </c>
      <c r="H33" s="17"/>
      <c r="I33" s="17" t="s">
        <v>165</v>
      </c>
      <c r="J33" s="17"/>
      <c r="K33" s="17" t="s">
        <v>165</v>
      </c>
      <c r="L33" s="17"/>
      <c r="M33" s="17" t="s">
        <v>165</v>
      </c>
      <c r="N33" s="17"/>
      <c r="O33" s="17" t="s">
        <v>165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9" t="s">
        <v>166</v>
      </c>
      <c r="B34" s="14">
        <v>16.0</v>
      </c>
      <c r="C34" s="19" t="s">
        <v>255</v>
      </c>
      <c r="D34" s="14">
        <v>-4.0</v>
      </c>
      <c r="E34" s="19" t="s">
        <v>179</v>
      </c>
      <c r="F34" s="14">
        <v>3.0</v>
      </c>
      <c r="G34" s="3" t="s">
        <v>170</v>
      </c>
      <c r="H34" s="3"/>
      <c r="I34" s="19" t="s">
        <v>167</v>
      </c>
      <c r="J34" s="14">
        <v>1.0</v>
      </c>
      <c r="K34" s="19" t="s">
        <v>173</v>
      </c>
      <c r="L34" s="14">
        <v>6.0</v>
      </c>
      <c r="M34" s="19" t="s">
        <v>169</v>
      </c>
      <c r="N34" s="14">
        <v>4.0</v>
      </c>
      <c r="O34" s="3" t="s">
        <v>171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180</v>
      </c>
      <c r="B35" s="3"/>
      <c r="C35" s="3" t="s">
        <v>172</v>
      </c>
      <c r="D35" s="3"/>
      <c r="E35" s="3" t="s">
        <v>176</v>
      </c>
      <c r="G35" s="19" t="s">
        <v>178</v>
      </c>
      <c r="H35" s="14">
        <v>7.0</v>
      </c>
      <c r="I35" s="3" t="s">
        <v>175</v>
      </c>
      <c r="J35" s="3"/>
      <c r="K35" s="3" t="s">
        <v>181</v>
      </c>
      <c r="L35" s="3"/>
      <c r="M35" s="3" t="s">
        <v>177</v>
      </c>
      <c r="N35" s="3"/>
      <c r="O35" s="19" t="s">
        <v>168</v>
      </c>
      <c r="P35" s="14">
        <v>2.0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182</v>
      </c>
      <c r="B37" s="17"/>
      <c r="C37" s="17" t="s">
        <v>182</v>
      </c>
      <c r="D37" s="17"/>
      <c r="E37" s="17" t="s">
        <v>182</v>
      </c>
      <c r="F37" s="17"/>
      <c r="G37" s="17" t="s">
        <v>182</v>
      </c>
      <c r="H37" s="17"/>
      <c r="I37" s="17" t="s">
        <v>182</v>
      </c>
      <c r="J37" s="17"/>
      <c r="K37" s="17" t="s">
        <v>182</v>
      </c>
      <c r="L37" s="17"/>
      <c r="M37" s="17" t="s">
        <v>182</v>
      </c>
      <c r="N37" s="17"/>
      <c r="O37" s="17" t="s">
        <v>182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9" t="s">
        <v>183</v>
      </c>
      <c r="B38" s="14">
        <v>4.0</v>
      </c>
      <c r="C38" s="19" t="s">
        <v>189</v>
      </c>
      <c r="D38" s="14">
        <v>-1.0</v>
      </c>
      <c r="E38" s="19" t="s">
        <v>185</v>
      </c>
      <c r="F38" s="14">
        <v>0.0</v>
      </c>
      <c r="G38" s="19" t="s">
        <v>187</v>
      </c>
      <c r="H38" s="14">
        <v>-1.0</v>
      </c>
      <c r="I38" s="3" t="s">
        <v>184</v>
      </c>
      <c r="J38" s="14"/>
      <c r="K38" s="19" t="s">
        <v>190</v>
      </c>
      <c r="L38" s="14">
        <v>3.0</v>
      </c>
      <c r="M38" s="19" t="s">
        <v>186</v>
      </c>
      <c r="N38" s="14">
        <v>3.0</v>
      </c>
      <c r="O38" s="3" t="s">
        <v>188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191</v>
      </c>
      <c r="B39" s="3"/>
      <c r="C39" s="3" t="s">
        <v>197</v>
      </c>
      <c r="D39" s="3"/>
      <c r="E39" s="3" t="s">
        <v>193</v>
      </c>
      <c r="F39" s="14"/>
      <c r="G39" s="3" t="s">
        <v>195</v>
      </c>
      <c r="H39" s="14"/>
      <c r="I39" s="19" t="s">
        <v>192</v>
      </c>
      <c r="J39" s="14">
        <v>4.0</v>
      </c>
      <c r="K39" s="3" t="s">
        <v>198</v>
      </c>
      <c r="L39" s="3"/>
      <c r="M39" s="3" t="s">
        <v>194</v>
      </c>
      <c r="N39" s="14"/>
      <c r="O39" s="19" t="s">
        <v>196</v>
      </c>
      <c r="P39" s="14">
        <v>4.0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9">
        <f>SUM(B8:B39)</f>
        <v>152</v>
      </c>
      <c r="C40" s="3"/>
      <c r="D40" s="3">
        <f>SUM(D8:D39)</f>
        <v>73</v>
      </c>
      <c r="E40" s="3"/>
      <c r="F40" s="19">
        <f>SUM(F8:F39)</f>
        <v>81</v>
      </c>
      <c r="G40" s="3"/>
      <c r="H40" s="3">
        <f>SUM(H8:H39)</f>
        <v>64</v>
      </c>
      <c r="I40" s="3"/>
      <c r="J40" s="3">
        <f>SUM(J8:J39)</f>
        <v>45</v>
      </c>
      <c r="K40" s="3"/>
      <c r="L40" s="3">
        <f>SUM(L8:L39)</f>
        <v>54</v>
      </c>
      <c r="M40" s="3"/>
      <c r="N40" s="19">
        <f>SUM(N8:N39)</f>
        <v>87</v>
      </c>
      <c r="O40" s="3"/>
      <c r="P40" s="19">
        <f>SUM(P8:P39)</f>
        <v>75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9" t="s">
        <v>221</v>
      </c>
      <c r="B42" s="19"/>
      <c r="C42" s="19" t="s">
        <v>221</v>
      </c>
      <c r="D42" s="19"/>
      <c r="E42" s="19" t="s">
        <v>221</v>
      </c>
      <c r="F42" s="19"/>
      <c r="G42" s="19" t="s">
        <v>221</v>
      </c>
      <c r="H42" s="19"/>
      <c r="I42" s="19" t="s">
        <v>221</v>
      </c>
      <c r="J42" s="19"/>
      <c r="K42" s="19" t="s">
        <v>221</v>
      </c>
      <c r="L42" s="19"/>
      <c r="M42" s="19" t="s">
        <v>221</v>
      </c>
      <c r="N42" s="19"/>
      <c r="O42" s="19" t="s">
        <v>221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7" t="s">
        <v>57</v>
      </c>
      <c r="B43" s="17"/>
      <c r="C43" s="17"/>
      <c r="D43" s="17"/>
      <c r="E43" s="17" t="s">
        <v>32</v>
      </c>
      <c r="F43" s="17"/>
      <c r="G43" s="17" t="s">
        <v>32</v>
      </c>
      <c r="H43" s="17"/>
      <c r="I43" s="17" t="s">
        <v>32</v>
      </c>
      <c r="J43" s="17"/>
      <c r="K43" s="17" t="s">
        <v>32</v>
      </c>
      <c r="L43" s="17"/>
      <c r="M43" s="17" t="s">
        <v>57</v>
      </c>
      <c r="N43" s="17"/>
      <c r="O43" s="17" t="s">
        <v>32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3" t="s">
        <v>89</v>
      </c>
      <c r="B44" s="3"/>
      <c r="C44" s="3"/>
      <c r="D44" s="3"/>
      <c r="E44" s="3" t="s">
        <v>51</v>
      </c>
      <c r="F44" s="3"/>
      <c r="G44" s="3" t="s">
        <v>53</v>
      </c>
      <c r="H44" s="3"/>
      <c r="I44" s="3" t="s">
        <v>227</v>
      </c>
      <c r="J44" s="3"/>
      <c r="K44" s="3" t="s">
        <v>224</v>
      </c>
      <c r="L44" s="3"/>
      <c r="M44" s="3" t="s">
        <v>85</v>
      </c>
      <c r="N44" s="3"/>
      <c r="O44" s="3" t="s">
        <v>223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 t="s">
        <v>90</v>
      </c>
      <c r="B45" s="17"/>
      <c r="C45" s="17"/>
      <c r="D45" s="17"/>
      <c r="E45" s="17" t="s">
        <v>57</v>
      </c>
      <c r="F45" s="17"/>
      <c r="G45" s="17" t="s">
        <v>90</v>
      </c>
      <c r="H45" s="17"/>
      <c r="I45" s="17" t="s">
        <v>57</v>
      </c>
      <c r="J45" s="17"/>
      <c r="K45" s="17" t="s">
        <v>57</v>
      </c>
      <c r="L45" s="17"/>
      <c r="M45" s="17" t="s">
        <v>90</v>
      </c>
      <c r="N45" s="17"/>
      <c r="O45" s="17" t="s">
        <v>57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3" t="s">
        <v>229</v>
      </c>
      <c r="B46" s="3"/>
      <c r="C46" s="3"/>
      <c r="D46" s="3"/>
      <c r="E46" s="3" t="s">
        <v>265</v>
      </c>
      <c r="F46" s="3"/>
      <c r="G46" s="3" t="s">
        <v>225</v>
      </c>
      <c r="H46" s="3"/>
      <c r="I46" s="3" t="s">
        <v>231</v>
      </c>
      <c r="J46" s="3"/>
      <c r="K46" s="3" t="s">
        <v>84</v>
      </c>
      <c r="L46" s="3"/>
      <c r="M46" s="3" t="s">
        <v>118</v>
      </c>
      <c r="N46" s="3"/>
      <c r="O46" s="3" t="s">
        <v>228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7" t="s">
        <v>148</v>
      </c>
      <c r="B47" s="17"/>
      <c r="C47" s="17"/>
      <c r="D47" s="17"/>
      <c r="E47" s="17" t="s">
        <v>90</v>
      </c>
      <c r="F47" s="17"/>
      <c r="G47" s="17" t="s">
        <v>123</v>
      </c>
      <c r="H47" s="17"/>
      <c r="I47" s="17" t="s">
        <v>90</v>
      </c>
      <c r="J47" s="17"/>
      <c r="K47" s="17" t="s">
        <v>90</v>
      </c>
      <c r="L47" s="17"/>
      <c r="M47" s="17" t="s">
        <v>123</v>
      </c>
      <c r="N47" s="17"/>
      <c r="O47" s="17" t="s">
        <v>90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3" t="s">
        <v>222</v>
      </c>
      <c r="B48" s="3"/>
      <c r="C48" s="3"/>
      <c r="D48" s="3"/>
      <c r="E48" s="3" t="s">
        <v>109</v>
      </c>
      <c r="F48" s="3"/>
      <c r="G48" s="3" t="s">
        <v>230</v>
      </c>
      <c r="H48" s="3"/>
      <c r="I48" s="3" t="s">
        <v>236</v>
      </c>
      <c r="J48" s="3"/>
      <c r="K48" s="3" t="s">
        <v>226</v>
      </c>
      <c r="L48" s="3"/>
      <c r="M48" s="3" t="s">
        <v>235</v>
      </c>
      <c r="N48" s="3"/>
      <c r="O48" s="3" t="s">
        <v>232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 t="s">
        <v>165</v>
      </c>
      <c r="B49" s="17"/>
      <c r="C49" s="17"/>
      <c r="D49" s="17"/>
      <c r="E49" s="17" t="s">
        <v>123</v>
      </c>
      <c r="F49" s="17"/>
      <c r="G49" s="17" t="s">
        <v>182</v>
      </c>
      <c r="H49" s="17"/>
      <c r="I49" s="17" t="s">
        <v>123</v>
      </c>
      <c r="J49" s="17"/>
      <c r="K49" s="17" t="s">
        <v>123</v>
      </c>
      <c r="L49" s="17"/>
      <c r="M49" s="17" t="s">
        <v>165</v>
      </c>
      <c r="N49" s="17"/>
      <c r="O49" s="17" t="s">
        <v>123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3" t="s">
        <v>174</v>
      </c>
      <c r="B50" s="3"/>
      <c r="C50" s="3"/>
      <c r="D50" s="3"/>
      <c r="E50" s="3" t="s">
        <v>134</v>
      </c>
      <c r="F50" s="3"/>
      <c r="G50" s="3" t="s">
        <v>234</v>
      </c>
      <c r="H50" s="3"/>
      <c r="I50" s="3" t="s">
        <v>239</v>
      </c>
      <c r="J50" s="3"/>
      <c r="K50" s="3" t="s">
        <v>233</v>
      </c>
      <c r="L50" s="3"/>
      <c r="M50" s="3" t="s">
        <v>238</v>
      </c>
      <c r="N50" s="3"/>
      <c r="O50" s="3" t="s">
        <v>237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3" max="3" width="13.0"/>
    <col customWidth="1" min="7" max="7" width="13.0"/>
    <col customWidth="1" min="9" max="9" width="14.25"/>
    <col customWidth="1" min="11" max="11" width="15.13"/>
    <col customWidth="1" min="13" max="13" width="16.13"/>
  </cols>
  <sheetData>
    <row r="1">
      <c r="A1" s="34" t="s">
        <v>266</v>
      </c>
      <c r="B1" s="35"/>
      <c r="C1" s="36"/>
      <c r="D1" s="37"/>
      <c r="E1" s="38"/>
      <c r="F1" s="36"/>
      <c r="G1" s="39"/>
      <c r="H1" s="36"/>
      <c r="I1" s="38"/>
      <c r="J1" s="40"/>
      <c r="K1" s="41"/>
      <c r="L1" s="39"/>
      <c r="M1" s="39"/>
      <c r="N1" s="39"/>
      <c r="O1" s="41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B2" s="39"/>
      <c r="C2" s="38"/>
      <c r="D2" s="39"/>
      <c r="F2" s="39"/>
      <c r="H2" s="39"/>
      <c r="I2" s="38"/>
      <c r="J2" s="39"/>
      <c r="L2" s="39"/>
      <c r="M2" s="38"/>
      <c r="N2" s="39"/>
      <c r="O2" s="38"/>
      <c r="P2" s="39"/>
      <c r="Q2" s="42"/>
      <c r="R2" s="39"/>
      <c r="S2" s="39"/>
      <c r="T2" s="39"/>
      <c r="U2" s="39"/>
      <c r="V2" s="39"/>
      <c r="W2" s="39"/>
      <c r="X2" s="39"/>
      <c r="Y2" s="39"/>
      <c r="Z2" s="39"/>
    </row>
    <row r="3">
      <c r="A3" s="38" t="s">
        <v>267</v>
      </c>
      <c r="B3" s="39"/>
      <c r="C3" s="38" t="s">
        <v>268</v>
      </c>
      <c r="D3" s="39"/>
      <c r="E3" s="38" t="s">
        <v>269</v>
      </c>
      <c r="F3" s="39"/>
      <c r="G3" s="38" t="s">
        <v>270</v>
      </c>
      <c r="H3" s="39"/>
      <c r="I3" s="38" t="s">
        <v>271</v>
      </c>
      <c r="J3" s="39"/>
      <c r="K3" s="38" t="s">
        <v>272</v>
      </c>
      <c r="L3" s="39"/>
      <c r="M3" s="38" t="s">
        <v>273</v>
      </c>
      <c r="N3" s="39"/>
      <c r="O3" s="38" t="s">
        <v>274</v>
      </c>
      <c r="P3" s="39"/>
      <c r="Q3" s="42"/>
      <c r="R3" s="39"/>
      <c r="S3" s="39"/>
      <c r="T3" s="39"/>
      <c r="U3" s="39"/>
      <c r="V3" s="39"/>
      <c r="W3" s="39"/>
      <c r="X3" s="39"/>
      <c r="Y3" s="39"/>
      <c r="Z3" s="39"/>
    </row>
    <row r="4">
      <c r="A4" s="42" t="s">
        <v>15</v>
      </c>
      <c r="B4" s="39"/>
      <c r="C4" s="42" t="s">
        <v>19</v>
      </c>
      <c r="D4" s="39"/>
      <c r="E4" s="42" t="s">
        <v>22</v>
      </c>
      <c r="F4" s="39"/>
      <c r="G4" s="42" t="s">
        <v>18</v>
      </c>
      <c r="H4" s="39"/>
      <c r="I4" s="43" t="s">
        <v>17</v>
      </c>
      <c r="J4" s="39"/>
      <c r="K4" s="42" t="s">
        <v>21</v>
      </c>
      <c r="L4" s="39"/>
      <c r="M4" s="42" t="s">
        <v>20</v>
      </c>
      <c r="N4" s="39"/>
      <c r="O4" s="42" t="s">
        <v>16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23</v>
      </c>
      <c r="B5" s="39"/>
      <c r="C5" s="40" t="s">
        <v>27</v>
      </c>
      <c r="D5" s="39"/>
      <c r="E5" s="40" t="s">
        <v>30</v>
      </c>
      <c r="F5" s="39"/>
      <c r="G5" s="40" t="s">
        <v>26</v>
      </c>
      <c r="H5" s="39"/>
      <c r="I5" s="40" t="s">
        <v>25</v>
      </c>
      <c r="J5" s="39"/>
      <c r="K5" s="40" t="s">
        <v>29</v>
      </c>
      <c r="L5" s="39"/>
      <c r="M5" s="40" t="s">
        <v>28</v>
      </c>
      <c r="N5" s="39"/>
      <c r="O5" s="40" t="s">
        <v>24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4" t="s">
        <v>31</v>
      </c>
      <c r="C6" s="42"/>
      <c r="D6" s="44" t="s">
        <v>31</v>
      </c>
      <c r="E6" s="39"/>
      <c r="F6" s="44" t="s">
        <v>31</v>
      </c>
      <c r="G6" s="39"/>
      <c r="H6" s="44" t="s">
        <v>31</v>
      </c>
      <c r="I6" s="39"/>
      <c r="J6" s="44" t="s">
        <v>31</v>
      </c>
      <c r="K6" s="39"/>
      <c r="L6" s="44" t="s">
        <v>31</v>
      </c>
      <c r="M6" s="39"/>
      <c r="N6" s="44" t="s">
        <v>31</v>
      </c>
      <c r="O6" s="39"/>
      <c r="P6" s="44" t="s">
        <v>31</v>
      </c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5" t="s">
        <v>32</v>
      </c>
      <c r="B7" s="45"/>
      <c r="C7" s="45" t="s">
        <v>32</v>
      </c>
      <c r="D7" s="45"/>
      <c r="E7" s="45" t="s">
        <v>32</v>
      </c>
      <c r="F7" s="46"/>
      <c r="G7" s="45" t="s">
        <v>32</v>
      </c>
      <c r="H7" s="46"/>
      <c r="I7" s="45" t="s">
        <v>32</v>
      </c>
      <c r="J7" s="46"/>
      <c r="K7" s="45" t="s">
        <v>32</v>
      </c>
      <c r="L7" s="46"/>
      <c r="M7" s="45" t="s">
        <v>32</v>
      </c>
      <c r="N7" s="46"/>
      <c r="O7" s="45" t="s">
        <v>32</v>
      </c>
      <c r="P7" s="46"/>
      <c r="Q7" s="45"/>
      <c r="R7" s="46"/>
      <c r="S7" s="46"/>
      <c r="T7" s="46"/>
      <c r="U7" s="46"/>
      <c r="V7" s="46"/>
      <c r="W7" s="46"/>
      <c r="X7" s="46"/>
      <c r="Y7" s="46"/>
      <c r="Z7" s="46"/>
    </row>
    <row r="8">
      <c r="A8" s="47" t="s">
        <v>33</v>
      </c>
      <c r="B8" s="40">
        <v>14.0</v>
      </c>
      <c r="C8" s="39" t="s">
        <v>37</v>
      </c>
      <c r="D8" s="40"/>
      <c r="E8" s="39" t="s">
        <v>223</v>
      </c>
      <c r="F8" s="40"/>
      <c r="G8" s="48" t="s">
        <v>36</v>
      </c>
      <c r="H8" s="40">
        <v>27.0</v>
      </c>
      <c r="I8" s="48" t="s">
        <v>35</v>
      </c>
      <c r="J8" s="40">
        <v>16.0</v>
      </c>
      <c r="K8" s="48" t="s">
        <v>39</v>
      </c>
      <c r="L8" s="40">
        <v>34.0</v>
      </c>
      <c r="M8" s="48" t="s">
        <v>34</v>
      </c>
      <c r="N8" s="40">
        <v>42.0</v>
      </c>
      <c r="O8" s="31" t="s">
        <v>224</v>
      </c>
      <c r="P8" s="40">
        <v>6.0</v>
      </c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 t="s">
        <v>41</v>
      </c>
      <c r="B9" s="40"/>
      <c r="C9" s="48" t="s">
        <v>45</v>
      </c>
      <c r="D9" s="40">
        <v>27.0</v>
      </c>
      <c r="E9" s="48" t="s">
        <v>40</v>
      </c>
      <c r="F9" s="40">
        <v>35.0</v>
      </c>
      <c r="G9" s="39" t="s">
        <v>44</v>
      </c>
      <c r="H9" s="40"/>
      <c r="I9" s="39" t="s">
        <v>275</v>
      </c>
      <c r="J9" s="39"/>
      <c r="K9" s="39" t="s">
        <v>47</v>
      </c>
      <c r="L9" s="39"/>
      <c r="M9" s="39" t="s">
        <v>242</v>
      </c>
      <c r="N9" s="39"/>
      <c r="O9" s="40" t="s">
        <v>42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 t="s">
        <v>49</v>
      </c>
      <c r="B10" s="39"/>
      <c r="C10" s="39" t="s">
        <v>276</v>
      </c>
      <c r="D10" s="39"/>
      <c r="E10" s="39" t="s">
        <v>56</v>
      </c>
      <c r="F10" s="39"/>
      <c r="G10" s="39" t="s">
        <v>52</v>
      </c>
      <c r="H10" s="39"/>
      <c r="I10" s="39" t="s">
        <v>46</v>
      </c>
      <c r="J10" s="39"/>
      <c r="K10" s="39" t="s">
        <v>55</v>
      </c>
      <c r="L10" s="40"/>
      <c r="M10" s="39" t="s">
        <v>54</v>
      </c>
      <c r="N10" s="39"/>
      <c r="O10" s="39" t="s">
        <v>38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4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5" t="s">
        <v>57</v>
      </c>
      <c r="B12" s="46"/>
      <c r="C12" s="50" t="s">
        <v>57</v>
      </c>
      <c r="D12" s="46"/>
      <c r="E12" s="45" t="s">
        <v>57</v>
      </c>
      <c r="F12" s="46"/>
      <c r="G12" s="45" t="s">
        <v>57</v>
      </c>
      <c r="H12" s="46"/>
      <c r="I12" s="45" t="s">
        <v>57</v>
      </c>
      <c r="J12" s="46"/>
      <c r="K12" s="50" t="s">
        <v>57</v>
      </c>
      <c r="L12" s="46"/>
      <c r="M12" s="45" t="s">
        <v>57</v>
      </c>
      <c r="N12" s="46"/>
      <c r="O12" s="45" t="s">
        <v>57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51" t="s">
        <v>66</v>
      </c>
      <c r="B13" s="23">
        <v>4.0</v>
      </c>
      <c r="C13" s="48" t="s">
        <v>62</v>
      </c>
      <c r="D13" s="40">
        <v>2.0</v>
      </c>
      <c r="E13" s="39" t="s">
        <v>65</v>
      </c>
      <c r="F13" s="40"/>
      <c r="G13" s="47" t="s">
        <v>61</v>
      </c>
      <c r="H13" s="40">
        <v>10.0</v>
      </c>
      <c r="I13" s="39" t="s">
        <v>60</v>
      </c>
      <c r="J13" s="40"/>
      <c r="K13" s="48" t="s">
        <v>64</v>
      </c>
      <c r="L13" s="40">
        <v>13.0</v>
      </c>
      <c r="M13" s="48" t="s">
        <v>81</v>
      </c>
      <c r="N13" s="40">
        <v>11.0</v>
      </c>
      <c r="O13" s="39" t="s">
        <v>59</v>
      </c>
      <c r="P13" s="40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0" t="s">
        <v>58</v>
      </c>
      <c r="B14" s="40"/>
      <c r="C14" s="48" t="s">
        <v>70</v>
      </c>
      <c r="D14" s="40">
        <v>0.0</v>
      </c>
      <c r="E14" s="39" t="s">
        <v>73</v>
      </c>
      <c r="F14" s="40"/>
      <c r="G14" s="39" t="s">
        <v>69</v>
      </c>
      <c r="H14" s="40"/>
      <c r="I14" s="47" t="s">
        <v>68</v>
      </c>
      <c r="J14" s="40">
        <v>14.0</v>
      </c>
      <c r="K14" s="39" t="s">
        <v>80</v>
      </c>
      <c r="L14" s="40"/>
      <c r="M14" s="23" t="s">
        <v>79</v>
      </c>
      <c r="N14" s="40"/>
      <c r="O14" s="39" t="s">
        <v>75</v>
      </c>
      <c r="P14" s="40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8" t="s">
        <v>74</v>
      </c>
      <c r="B15" s="40">
        <v>0.0</v>
      </c>
      <c r="C15" s="39" t="s">
        <v>78</v>
      </c>
      <c r="D15" s="40"/>
      <c r="E15" s="48" t="s">
        <v>243</v>
      </c>
      <c r="F15" s="40">
        <v>14.0</v>
      </c>
      <c r="G15" s="48" t="s">
        <v>77</v>
      </c>
      <c r="H15" s="40">
        <v>3.0</v>
      </c>
      <c r="I15" s="39" t="s">
        <v>83</v>
      </c>
      <c r="J15" s="40"/>
      <c r="K15" s="48" t="s">
        <v>72</v>
      </c>
      <c r="L15" s="40">
        <v>18.0</v>
      </c>
      <c r="M15" s="39" t="s">
        <v>89</v>
      </c>
      <c r="N15" s="40"/>
      <c r="O15" s="47" t="s">
        <v>228</v>
      </c>
      <c r="P15" s="40">
        <v>3.0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 t="s">
        <v>82</v>
      </c>
      <c r="B16" s="39"/>
      <c r="C16" s="39" t="s">
        <v>86</v>
      </c>
      <c r="D16" s="40"/>
      <c r="E16" s="48" t="s">
        <v>63</v>
      </c>
      <c r="F16" s="40">
        <v>15.0</v>
      </c>
      <c r="G16" s="42" t="s">
        <v>263</v>
      </c>
      <c r="H16" s="40"/>
      <c r="I16" s="48" t="s">
        <v>76</v>
      </c>
      <c r="J16" s="40">
        <v>3.0</v>
      </c>
      <c r="K16" s="39" t="s">
        <v>88</v>
      </c>
      <c r="L16" s="40"/>
      <c r="M16" s="48" t="s">
        <v>71</v>
      </c>
      <c r="N16" s="40">
        <v>10.0</v>
      </c>
      <c r="O16" s="47" t="s">
        <v>277</v>
      </c>
      <c r="P16" s="40">
        <v>7.0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4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5" t="s">
        <v>90</v>
      </c>
      <c r="B18" s="46"/>
      <c r="C18" s="50" t="s">
        <v>90</v>
      </c>
      <c r="D18" s="46"/>
      <c r="E18" s="45" t="s">
        <v>90</v>
      </c>
      <c r="F18" s="46"/>
      <c r="G18" s="45" t="s">
        <v>90</v>
      </c>
      <c r="H18" s="46"/>
      <c r="I18" s="45" t="s">
        <v>90</v>
      </c>
      <c r="J18" s="46"/>
      <c r="K18" s="50" t="s">
        <v>90</v>
      </c>
      <c r="L18" s="46"/>
      <c r="M18" s="45" t="s">
        <v>90</v>
      </c>
      <c r="N18" s="46"/>
      <c r="O18" s="45" t="s">
        <v>90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8" t="s">
        <v>91</v>
      </c>
      <c r="B19" s="40">
        <v>11.0</v>
      </c>
      <c r="C19" s="48" t="s">
        <v>95</v>
      </c>
      <c r="D19" s="40">
        <v>11.0</v>
      </c>
      <c r="E19" s="48" t="s">
        <v>99</v>
      </c>
      <c r="F19" s="40">
        <v>14.0</v>
      </c>
      <c r="G19" s="48" t="s">
        <v>94</v>
      </c>
      <c r="H19" s="40">
        <v>31.0</v>
      </c>
      <c r="I19" s="48" t="s">
        <v>100</v>
      </c>
      <c r="J19" s="40">
        <v>9.0</v>
      </c>
      <c r="K19" s="48" t="s">
        <v>97</v>
      </c>
      <c r="L19" s="40">
        <v>3.0</v>
      </c>
      <c r="M19" s="48" t="s">
        <v>96</v>
      </c>
      <c r="N19" s="40">
        <v>14.0</v>
      </c>
      <c r="O19" s="39" t="s">
        <v>92</v>
      </c>
      <c r="P19" s="40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8" t="s">
        <v>98</v>
      </c>
      <c r="B20" s="40">
        <v>8.0</v>
      </c>
      <c r="C20" s="39" t="s">
        <v>111</v>
      </c>
      <c r="D20" s="40"/>
      <c r="E20" s="40" t="s">
        <v>114</v>
      </c>
      <c r="F20" s="40"/>
      <c r="G20" s="39" t="s">
        <v>102</v>
      </c>
      <c r="H20" s="40"/>
      <c r="I20" s="40" t="s">
        <v>120</v>
      </c>
      <c r="J20" s="40"/>
      <c r="K20" s="48" t="s">
        <v>113</v>
      </c>
      <c r="L20" s="40">
        <v>8.0</v>
      </c>
      <c r="M20" s="47" t="s">
        <v>93</v>
      </c>
      <c r="N20" s="40">
        <v>2.0</v>
      </c>
      <c r="O20" s="48" t="s">
        <v>108</v>
      </c>
      <c r="P20" s="40">
        <v>4.0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 t="s">
        <v>115</v>
      </c>
      <c r="B21" s="39"/>
      <c r="C21" s="48" t="s">
        <v>103</v>
      </c>
      <c r="D21" s="40">
        <v>15.0</v>
      </c>
      <c r="E21" s="39" t="s">
        <v>122</v>
      </c>
      <c r="F21" s="39"/>
      <c r="G21" s="48" t="s">
        <v>110</v>
      </c>
      <c r="H21" s="40">
        <v>0.0</v>
      </c>
      <c r="I21" s="51" t="s">
        <v>112</v>
      </c>
      <c r="J21" s="40">
        <v>38.0</v>
      </c>
      <c r="K21" s="39" t="s">
        <v>121</v>
      </c>
      <c r="L21" s="40"/>
      <c r="M21" s="40" t="s">
        <v>278</v>
      </c>
      <c r="N21" s="40"/>
      <c r="O21" s="48" t="s">
        <v>279</v>
      </c>
      <c r="P21" s="40">
        <v>2.0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0" t="s">
        <v>107</v>
      </c>
      <c r="B22" s="39"/>
      <c r="C22" s="40" t="s">
        <v>280</v>
      </c>
      <c r="D22" s="40"/>
      <c r="E22" s="48" t="s">
        <v>106</v>
      </c>
      <c r="F22" s="40">
        <v>12.0</v>
      </c>
      <c r="G22" s="39" t="s">
        <v>118</v>
      </c>
      <c r="H22" s="39"/>
      <c r="I22" s="39" t="s">
        <v>117</v>
      </c>
      <c r="J22" s="40"/>
      <c r="K22" s="42" t="s">
        <v>105</v>
      </c>
      <c r="L22" s="40"/>
      <c r="M22" s="40" t="s">
        <v>264</v>
      </c>
      <c r="N22" s="40"/>
      <c r="O22" s="39" t="s">
        <v>281</v>
      </c>
      <c r="P22" s="40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4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5" t="s">
        <v>123</v>
      </c>
      <c r="B24" s="46"/>
      <c r="C24" s="50" t="s">
        <v>123</v>
      </c>
      <c r="D24" s="46"/>
      <c r="E24" s="45" t="s">
        <v>123</v>
      </c>
      <c r="F24" s="46"/>
      <c r="G24" s="45" t="s">
        <v>123</v>
      </c>
      <c r="H24" s="46"/>
      <c r="I24" s="45" t="s">
        <v>123</v>
      </c>
      <c r="J24" s="46"/>
      <c r="K24" s="50" t="s">
        <v>123</v>
      </c>
      <c r="L24" s="46"/>
      <c r="M24" s="45" t="s">
        <v>123</v>
      </c>
      <c r="N24" s="46"/>
      <c r="O24" s="45" t="s">
        <v>123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39" t="s">
        <v>124</v>
      </c>
      <c r="B25" s="40"/>
      <c r="C25" s="48" t="s">
        <v>128</v>
      </c>
      <c r="D25" s="40">
        <v>9.0</v>
      </c>
      <c r="E25" s="48" t="s">
        <v>131</v>
      </c>
      <c r="F25" s="40">
        <v>11.0</v>
      </c>
      <c r="G25" s="39" t="s">
        <v>127</v>
      </c>
      <c r="H25" s="40"/>
      <c r="I25" s="48" t="s">
        <v>126</v>
      </c>
      <c r="J25" s="40">
        <v>3.0</v>
      </c>
      <c r="K25" s="48" t="s">
        <v>138</v>
      </c>
      <c r="L25" s="40">
        <v>12.0</v>
      </c>
      <c r="M25" s="48" t="s">
        <v>129</v>
      </c>
      <c r="N25" s="40">
        <v>2.0</v>
      </c>
      <c r="O25" s="48" t="s">
        <v>125</v>
      </c>
      <c r="P25" s="40">
        <v>5.0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 t="s">
        <v>140</v>
      </c>
      <c r="B26" s="39"/>
      <c r="C26" s="39" t="s">
        <v>136</v>
      </c>
      <c r="D26" s="40"/>
      <c r="E26" s="39" t="s">
        <v>139</v>
      </c>
      <c r="F26" s="40"/>
      <c r="G26" s="48" t="s">
        <v>135</v>
      </c>
      <c r="H26" s="40">
        <v>11.0</v>
      </c>
      <c r="I26" s="23" t="s">
        <v>244</v>
      </c>
      <c r="J26" s="39"/>
      <c r="K26" s="39" t="s">
        <v>130</v>
      </c>
      <c r="L26" s="40"/>
      <c r="M26" s="39" t="s">
        <v>145</v>
      </c>
      <c r="N26" s="39"/>
      <c r="O26" s="39" t="s">
        <v>133</v>
      </c>
      <c r="P26" s="40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51" t="s">
        <v>132</v>
      </c>
      <c r="B27" s="40">
        <v>4.0</v>
      </c>
      <c r="C27" s="39" t="s">
        <v>144</v>
      </c>
      <c r="D27" s="39"/>
      <c r="E27" s="39" t="s">
        <v>282</v>
      </c>
      <c r="F27" s="39"/>
      <c r="G27" s="42" t="s">
        <v>283</v>
      </c>
      <c r="H27" s="39"/>
      <c r="I27" s="40" t="s">
        <v>284</v>
      </c>
      <c r="J27" s="39"/>
      <c r="K27" s="39" t="s">
        <v>146</v>
      </c>
      <c r="L27" s="40"/>
      <c r="M27" s="39" t="s">
        <v>285</v>
      </c>
      <c r="N27" s="40"/>
      <c r="O27" s="42" t="s">
        <v>141</v>
      </c>
      <c r="P27" s="40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5" t="s">
        <v>148</v>
      </c>
      <c r="B29" s="46"/>
      <c r="C29" s="50" t="s">
        <v>148</v>
      </c>
      <c r="D29" s="46"/>
      <c r="E29" s="45" t="s">
        <v>148</v>
      </c>
      <c r="F29" s="46"/>
      <c r="G29" s="45" t="s">
        <v>148</v>
      </c>
      <c r="H29" s="46"/>
      <c r="I29" s="45" t="s">
        <v>148</v>
      </c>
      <c r="J29" s="46"/>
      <c r="K29" s="45" t="s">
        <v>148</v>
      </c>
      <c r="L29" s="46"/>
      <c r="M29" s="44" t="s">
        <v>148</v>
      </c>
      <c r="N29" s="46"/>
      <c r="O29" s="45" t="s">
        <v>148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8" t="s">
        <v>149</v>
      </c>
      <c r="B30" s="40">
        <v>5.0</v>
      </c>
      <c r="C30" s="48" t="s">
        <v>153</v>
      </c>
      <c r="D30" s="40">
        <v>8.0</v>
      </c>
      <c r="E30" s="48" t="s">
        <v>156</v>
      </c>
      <c r="F30" s="40">
        <v>11.0</v>
      </c>
      <c r="G30" s="39" t="s">
        <v>152</v>
      </c>
      <c r="H30" s="40"/>
      <c r="I30" s="39" t="s">
        <v>151</v>
      </c>
      <c r="J30" s="40"/>
      <c r="K30" s="39" t="s">
        <v>155</v>
      </c>
      <c r="L30" s="40"/>
      <c r="M30" s="39" t="s">
        <v>154</v>
      </c>
      <c r="N30" s="40"/>
      <c r="O30" s="48" t="s">
        <v>150</v>
      </c>
      <c r="P30" s="40">
        <v>2.0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 t="s">
        <v>164</v>
      </c>
      <c r="B31" s="40"/>
      <c r="C31" s="39" t="s">
        <v>161</v>
      </c>
      <c r="D31" s="40"/>
      <c r="E31" s="42" t="s">
        <v>159</v>
      </c>
      <c r="F31" s="39"/>
      <c r="G31" s="48" t="s">
        <v>160</v>
      </c>
      <c r="H31" s="40">
        <v>2.0</v>
      </c>
      <c r="I31" s="48" t="s">
        <v>286</v>
      </c>
      <c r="J31" s="40">
        <v>10.0</v>
      </c>
      <c r="K31" s="48" t="s">
        <v>163</v>
      </c>
      <c r="L31" s="40">
        <v>7.0</v>
      </c>
      <c r="M31" s="48" t="s">
        <v>162</v>
      </c>
      <c r="N31" s="40">
        <v>8.0</v>
      </c>
      <c r="O31" s="39" t="s">
        <v>158</v>
      </c>
      <c r="P31" s="40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5" t="s">
        <v>165</v>
      </c>
      <c r="B33" s="46"/>
      <c r="C33" s="50" t="s">
        <v>165</v>
      </c>
      <c r="D33" s="46"/>
      <c r="E33" s="45" t="s">
        <v>165</v>
      </c>
      <c r="F33" s="46"/>
      <c r="G33" s="45" t="s">
        <v>165</v>
      </c>
      <c r="H33" s="46"/>
      <c r="I33" s="45" t="s">
        <v>165</v>
      </c>
      <c r="J33" s="46"/>
      <c r="K33" s="45" t="s">
        <v>165</v>
      </c>
      <c r="L33" s="46"/>
      <c r="M33" s="45" t="s">
        <v>165</v>
      </c>
      <c r="N33" s="46"/>
      <c r="O33" s="45" t="s">
        <v>165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8" t="s">
        <v>166</v>
      </c>
      <c r="B34" s="40">
        <v>2.0</v>
      </c>
      <c r="C34" s="48" t="s">
        <v>170</v>
      </c>
      <c r="D34" s="40">
        <v>14.0</v>
      </c>
      <c r="E34" s="48" t="s">
        <v>173</v>
      </c>
      <c r="F34" s="40">
        <v>-2.0</v>
      </c>
      <c r="G34" s="39" t="s">
        <v>169</v>
      </c>
      <c r="H34" s="40"/>
      <c r="I34" s="48" t="s">
        <v>179</v>
      </c>
      <c r="J34" s="40">
        <v>1.0</v>
      </c>
      <c r="K34" s="48" t="s">
        <v>255</v>
      </c>
      <c r="L34" s="40">
        <v>16.0</v>
      </c>
      <c r="M34" s="39" t="s">
        <v>174</v>
      </c>
      <c r="N34" s="40"/>
      <c r="O34" s="48" t="s">
        <v>167</v>
      </c>
      <c r="P34" s="40">
        <v>8.0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 t="s">
        <v>180</v>
      </c>
      <c r="B35" s="40"/>
      <c r="C35" s="39" t="s">
        <v>176</v>
      </c>
      <c r="D35" s="40"/>
      <c r="E35" s="39" t="s">
        <v>181</v>
      </c>
      <c r="F35" s="39"/>
      <c r="G35" s="39" t="s">
        <v>177</v>
      </c>
      <c r="H35" s="40"/>
      <c r="I35" s="39" t="s">
        <v>287</v>
      </c>
      <c r="J35" s="40"/>
      <c r="K35" s="39" t="s">
        <v>172</v>
      </c>
      <c r="L35" s="40"/>
      <c r="M35" s="48" t="s">
        <v>168</v>
      </c>
      <c r="N35" s="40">
        <v>5.0</v>
      </c>
      <c r="O35" s="39" t="s">
        <v>288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5" t="s">
        <v>289</v>
      </c>
      <c r="B37" s="46"/>
      <c r="C37" s="50" t="s">
        <v>289</v>
      </c>
      <c r="D37" s="46"/>
      <c r="E37" s="45" t="s">
        <v>289</v>
      </c>
      <c r="F37" s="46"/>
      <c r="G37" s="45" t="s">
        <v>289</v>
      </c>
      <c r="H37" s="46"/>
      <c r="I37" s="45" t="s">
        <v>289</v>
      </c>
      <c r="J37" s="46"/>
      <c r="K37" s="45" t="s">
        <v>289</v>
      </c>
      <c r="L37" s="46"/>
      <c r="M37" s="45" t="s">
        <v>289</v>
      </c>
      <c r="N37" s="46"/>
      <c r="O37" s="45" t="s">
        <v>289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7" t="s">
        <v>183</v>
      </c>
      <c r="B38" s="40">
        <v>6.0</v>
      </c>
      <c r="C38" s="39" t="s">
        <v>187</v>
      </c>
      <c r="D38" s="40"/>
      <c r="E38" s="48" t="s">
        <v>190</v>
      </c>
      <c r="F38" s="40">
        <v>-1.0</v>
      </c>
      <c r="G38" s="48" t="s">
        <v>186</v>
      </c>
      <c r="H38" s="40">
        <v>4.0</v>
      </c>
      <c r="I38" s="48" t="s">
        <v>185</v>
      </c>
      <c r="J38" s="40">
        <v>5.0</v>
      </c>
      <c r="K38" s="48" t="s">
        <v>189</v>
      </c>
      <c r="L38" s="40">
        <v>-2.0</v>
      </c>
      <c r="M38" s="48" t="s">
        <v>188</v>
      </c>
      <c r="N38" s="40">
        <v>4.0</v>
      </c>
      <c r="O38" s="39" t="s">
        <v>184</v>
      </c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 t="s">
        <v>191</v>
      </c>
      <c r="B39" s="40"/>
      <c r="C39" s="48" t="s">
        <v>195</v>
      </c>
      <c r="D39" s="40">
        <v>-3.0</v>
      </c>
      <c r="E39" s="39" t="s">
        <v>198</v>
      </c>
      <c r="F39" s="39"/>
      <c r="G39" s="39" t="s">
        <v>194</v>
      </c>
      <c r="H39" s="40"/>
      <c r="I39" s="39" t="s">
        <v>193</v>
      </c>
      <c r="J39" s="40"/>
      <c r="K39" s="39" t="s">
        <v>197</v>
      </c>
      <c r="L39" s="40"/>
      <c r="M39" s="39" t="s">
        <v>196</v>
      </c>
      <c r="N39" s="40"/>
      <c r="O39" s="48" t="s">
        <v>192</v>
      </c>
      <c r="P39" s="40">
        <v>2.0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>
        <f>SUM(B8:B39)</f>
        <v>54</v>
      </c>
      <c r="D41" s="39">
        <f>SUM(D8:D39)</f>
        <v>83</v>
      </c>
      <c r="F41" s="39">
        <f>SUM(F8:F39)</f>
        <v>109</v>
      </c>
      <c r="G41" s="39"/>
      <c r="H41" s="39">
        <f>SUM(H8:H39)</f>
        <v>88</v>
      </c>
      <c r="J41" s="39">
        <f>SUM(J8:J39)</f>
        <v>99</v>
      </c>
      <c r="L41" s="39">
        <f>SUM(L8:L39)</f>
        <v>109</v>
      </c>
      <c r="N41" s="39">
        <f>SUM(N8:N39)</f>
        <v>98</v>
      </c>
      <c r="P41" s="39">
        <f>SUM(P8:P39)</f>
        <v>39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52"/>
      <c r="B42" s="53"/>
      <c r="C42" s="52"/>
      <c r="D42" s="53"/>
      <c r="E42" s="52"/>
      <c r="F42" s="53"/>
      <c r="G42" s="52"/>
      <c r="H42" s="53"/>
      <c r="I42" s="52"/>
      <c r="J42" s="53"/>
      <c r="K42" s="52"/>
      <c r="L42" s="53"/>
      <c r="M42" s="52"/>
      <c r="N42" s="53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46"/>
      <c r="B43" s="49"/>
      <c r="C43" s="54"/>
      <c r="E43" s="46"/>
      <c r="F43" s="49"/>
      <c r="G43" s="54"/>
      <c r="H43" s="49"/>
      <c r="I43" s="54"/>
      <c r="J43" s="49"/>
      <c r="K43" s="46"/>
      <c r="M43" s="46"/>
      <c r="N43" s="49"/>
      <c r="O43" s="46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/>
      <c r="B44" s="49"/>
      <c r="C44" s="39"/>
      <c r="E44" s="39"/>
      <c r="F44" s="55"/>
      <c r="G44" s="39"/>
      <c r="H44" s="49"/>
      <c r="I44" s="39"/>
      <c r="J44" s="49"/>
      <c r="K44" s="39"/>
      <c r="M44" s="39"/>
      <c r="N44" s="49"/>
      <c r="O44" s="39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9"/>
      <c r="C45" s="54"/>
      <c r="E45" s="46"/>
      <c r="F45" s="49"/>
      <c r="G45" s="54"/>
      <c r="H45" s="49"/>
      <c r="I45" s="54"/>
      <c r="J45" s="49"/>
      <c r="K45" s="46"/>
      <c r="M45" s="46"/>
      <c r="N45" s="49"/>
      <c r="O45" s="46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49"/>
      <c r="C46" s="39"/>
      <c r="E46" s="39"/>
      <c r="F46" s="49"/>
      <c r="G46" s="39"/>
      <c r="H46" s="49"/>
      <c r="I46" s="39"/>
      <c r="J46" s="49"/>
      <c r="K46" s="39"/>
      <c r="M46" s="39"/>
      <c r="N46" s="49"/>
      <c r="O46" s="39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B47" s="49"/>
      <c r="C47" s="54"/>
      <c r="E47" s="46"/>
      <c r="F47" s="49"/>
      <c r="H47" s="49"/>
      <c r="I47" s="54"/>
      <c r="J47" s="49"/>
      <c r="M47" s="46"/>
      <c r="N47" s="49"/>
      <c r="O47" s="46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B48" s="49"/>
      <c r="C48" s="39"/>
      <c r="E48" s="39"/>
      <c r="F48" s="49"/>
      <c r="H48" s="49"/>
      <c r="I48" s="39"/>
      <c r="J48" s="49"/>
      <c r="M48" s="39"/>
      <c r="N48" s="49"/>
      <c r="O48" s="39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9"/>
      <c r="C49" s="39"/>
      <c r="E49" s="46"/>
      <c r="F49" s="49"/>
      <c r="H49" s="49"/>
      <c r="I49" s="54"/>
      <c r="J49" s="49"/>
      <c r="N49" s="4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49"/>
      <c r="C50" s="39"/>
      <c r="E50" s="39"/>
      <c r="F50" s="49"/>
      <c r="H50" s="49"/>
      <c r="I50" s="39"/>
      <c r="J50" s="49"/>
      <c r="N50" s="49"/>
      <c r="O50" s="39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39"/>
      <c r="B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7" max="7" width="13.0"/>
    <col customWidth="1" min="9" max="9" width="14.25"/>
    <col customWidth="1" min="11" max="11" width="13.0"/>
    <col customWidth="1" min="13" max="13" width="16.13"/>
    <col customWidth="1" min="15" max="15" width="15.13"/>
  </cols>
  <sheetData>
    <row r="1">
      <c r="A1" s="34" t="s">
        <v>290</v>
      </c>
      <c r="B1" s="35"/>
      <c r="C1" s="41" t="s">
        <v>291</v>
      </c>
      <c r="D1" s="37" t="s">
        <v>292</v>
      </c>
      <c r="E1" s="38" t="s">
        <v>293</v>
      </c>
      <c r="F1" s="36" t="s">
        <v>294</v>
      </c>
      <c r="G1" s="36" t="s">
        <v>295</v>
      </c>
      <c r="H1" s="36" t="s">
        <v>296</v>
      </c>
      <c r="I1" s="38"/>
      <c r="J1" s="40"/>
      <c r="K1" s="39"/>
      <c r="L1" s="39"/>
      <c r="M1" s="39"/>
      <c r="N1" s="39"/>
      <c r="O1" s="41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B2" s="39"/>
      <c r="C2" s="38"/>
      <c r="D2" s="39"/>
      <c r="F2" s="39"/>
      <c r="G2" s="38"/>
      <c r="H2" s="39"/>
      <c r="I2" s="38"/>
      <c r="J2" s="39"/>
      <c r="L2" s="39"/>
      <c r="M2" s="38"/>
      <c r="N2" s="39"/>
      <c r="P2" s="39"/>
      <c r="Q2" s="42"/>
      <c r="R2" s="39"/>
      <c r="S2" s="39"/>
      <c r="T2" s="39"/>
      <c r="U2" s="39"/>
      <c r="V2" s="39"/>
      <c r="W2" s="39"/>
      <c r="X2" s="39"/>
      <c r="Y2" s="39"/>
      <c r="Z2" s="39"/>
    </row>
    <row r="3">
      <c r="A3" s="38" t="s">
        <v>297</v>
      </c>
      <c r="B3" s="39"/>
      <c r="C3" s="38" t="s">
        <v>274</v>
      </c>
      <c r="D3" s="39"/>
      <c r="E3" s="38" t="s">
        <v>269</v>
      </c>
      <c r="F3" s="39"/>
      <c r="G3" s="38" t="s">
        <v>268</v>
      </c>
      <c r="H3" s="39"/>
      <c r="I3" s="38" t="s">
        <v>271</v>
      </c>
      <c r="J3" s="39"/>
      <c r="K3" s="38" t="s">
        <v>270</v>
      </c>
      <c r="L3" s="39"/>
      <c r="M3" s="38" t="s">
        <v>273</v>
      </c>
      <c r="N3" s="39"/>
      <c r="O3" s="38" t="s">
        <v>272</v>
      </c>
      <c r="P3" s="39"/>
      <c r="Q3" s="42"/>
      <c r="R3" s="39"/>
      <c r="S3" s="39"/>
      <c r="T3" s="39"/>
      <c r="U3" s="39"/>
      <c r="V3" s="39"/>
      <c r="W3" s="39"/>
      <c r="X3" s="39"/>
      <c r="Y3" s="39"/>
      <c r="Z3" s="39"/>
    </row>
    <row r="4">
      <c r="A4" s="42" t="s">
        <v>15</v>
      </c>
      <c r="B4" s="39"/>
      <c r="C4" s="42" t="s">
        <v>16</v>
      </c>
      <c r="D4" s="39"/>
      <c r="E4" s="42" t="s">
        <v>22</v>
      </c>
      <c r="F4" s="39"/>
      <c r="G4" s="42" t="s">
        <v>19</v>
      </c>
      <c r="H4" s="39"/>
      <c r="I4" s="43" t="s">
        <v>17</v>
      </c>
      <c r="J4" s="39"/>
      <c r="K4" s="42" t="s">
        <v>18</v>
      </c>
      <c r="L4" s="39"/>
      <c r="M4" s="42" t="s">
        <v>20</v>
      </c>
      <c r="N4" s="39"/>
      <c r="O4" s="42" t="s">
        <v>21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23</v>
      </c>
      <c r="B5" s="39"/>
      <c r="C5" s="40" t="s">
        <v>24</v>
      </c>
      <c r="D5" s="39"/>
      <c r="E5" s="40" t="s">
        <v>30</v>
      </c>
      <c r="F5" s="39"/>
      <c r="G5" s="40" t="s">
        <v>27</v>
      </c>
      <c r="H5" s="39"/>
      <c r="I5" s="40" t="s">
        <v>25</v>
      </c>
      <c r="J5" s="39"/>
      <c r="K5" s="40" t="s">
        <v>26</v>
      </c>
      <c r="L5" s="39"/>
      <c r="M5" s="40" t="s">
        <v>28</v>
      </c>
      <c r="N5" s="39"/>
      <c r="O5" s="40" t="s">
        <v>29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4" t="s">
        <v>31</v>
      </c>
      <c r="C6" s="39"/>
      <c r="D6" s="44" t="s">
        <v>31</v>
      </c>
      <c r="E6" s="39"/>
      <c r="F6" s="44" t="s">
        <v>31</v>
      </c>
      <c r="G6" s="42"/>
      <c r="H6" s="44" t="s">
        <v>31</v>
      </c>
      <c r="I6" s="39"/>
      <c r="J6" s="44" t="s">
        <v>31</v>
      </c>
      <c r="K6" s="39"/>
      <c r="L6" s="44" t="s">
        <v>31</v>
      </c>
      <c r="M6" s="39"/>
      <c r="N6" s="44" t="s">
        <v>31</v>
      </c>
      <c r="O6" s="39"/>
      <c r="P6" s="44" t="s">
        <v>31</v>
      </c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5" t="s">
        <v>32</v>
      </c>
      <c r="B7" s="45"/>
      <c r="C7" s="45" t="s">
        <v>32</v>
      </c>
      <c r="D7" s="45"/>
      <c r="E7" s="45" t="s">
        <v>32</v>
      </c>
      <c r="F7" s="46"/>
      <c r="G7" s="45" t="s">
        <v>32</v>
      </c>
      <c r="H7" s="46"/>
      <c r="I7" s="45" t="s">
        <v>32</v>
      </c>
      <c r="J7" s="46"/>
      <c r="K7" s="45" t="s">
        <v>32</v>
      </c>
      <c r="L7" s="46"/>
      <c r="M7" s="45" t="s">
        <v>32</v>
      </c>
      <c r="N7" s="46"/>
      <c r="O7" s="45" t="s">
        <v>32</v>
      </c>
      <c r="P7" s="46"/>
      <c r="Q7" s="45"/>
      <c r="R7" s="46"/>
      <c r="S7" s="46"/>
      <c r="T7" s="46"/>
      <c r="U7" s="46"/>
      <c r="V7" s="46"/>
      <c r="W7" s="46"/>
      <c r="X7" s="46"/>
      <c r="Y7" s="46"/>
      <c r="Z7" s="46"/>
    </row>
    <row r="8">
      <c r="A8" s="47" t="s">
        <v>33</v>
      </c>
      <c r="B8" s="40">
        <v>24.0</v>
      </c>
      <c r="C8" s="31" t="s">
        <v>224</v>
      </c>
      <c r="D8" s="40">
        <v>17.0</v>
      </c>
      <c r="E8" s="39" t="s">
        <v>223</v>
      </c>
      <c r="F8" s="40"/>
      <c r="G8" s="48" t="s">
        <v>37</v>
      </c>
      <c r="H8" s="40">
        <v>29.0</v>
      </c>
      <c r="I8" s="48" t="s">
        <v>35</v>
      </c>
      <c r="J8" s="40">
        <v>18.0</v>
      </c>
      <c r="K8" s="48" t="s">
        <v>36</v>
      </c>
      <c r="L8" s="40">
        <v>39.0</v>
      </c>
      <c r="M8" s="48" t="s">
        <v>34</v>
      </c>
      <c r="N8" s="40">
        <v>32.0</v>
      </c>
      <c r="O8" s="48" t="s">
        <v>39</v>
      </c>
      <c r="P8" s="40">
        <v>18.0</v>
      </c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 t="s">
        <v>41</v>
      </c>
      <c r="B9" s="40"/>
      <c r="C9" s="40" t="s">
        <v>42</v>
      </c>
      <c r="D9" s="40"/>
      <c r="E9" s="48" t="s">
        <v>40</v>
      </c>
      <c r="F9" s="40">
        <v>3.0</v>
      </c>
      <c r="G9" s="39" t="s">
        <v>45</v>
      </c>
      <c r="H9" s="40"/>
      <c r="I9" s="39" t="s">
        <v>275</v>
      </c>
      <c r="J9" s="39"/>
      <c r="K9" s="39" t="s">
        <v>44</v>
      </c>
      <c r="L9" s="39"/>
      <c r="M9" s="39" t="s">
        <v>242</v>
      </c>
      <c r="N9" s="39"/>
      <c r="O9" s="39" t="s">
        <v>47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 t="s">
        <v>49</v>
      </c>
      <c r="B10" s="39"/>
      <c r="C10" s="39" t="s">
        <v>38</v>
      </c>
      <c r="D10" s="39"/>
      <c r="E10" s="39" t="s">
        <v>56</v>
      </c>
      <c r="F10" s="39"/>
      <c r="G10" s="39" t="s">
        <v>276</v>
      </c>
      <c r="H10" s="39"/>
      <c r="I10" s="39" t="s">
        <v>46</v>
      </c>
      <c r="J10" s="39"/>
      <c r="K10" s="39" t="s">
        <v>52</v>
      </c>
      <c r="L10" s="40"/>
      <c r="M10" s="39" t="s">
        <v>54</v>
      </c>
      <c r="N10" s="39"/>
      <c r="O10" s="39" t="s">
        <v>55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5" t="s">
        <v>57</v>
      </c>
      <c r="B12" s="46"/>
      <c r="C12" s="45" t="s">
        <v>57</v>
      </c>
      <c r="D12" s="46"/>
      <c r="E12" s="45" t="s">
        <v>57</v>
      </c>
      <c r="F12" s="46"/>
      <c r="G12" s="50" t="s">
        <v>57</v>
      </c>
      <c r="H12" s="46"/>
      <c r="I12" s="45" t="s">
        <v>57</v>
      </c>
      <c r="J12" s="46"/>
      <c r="K12" s="45" t="s">
        <v>57</v>
      </c>
      <c r="L12" s="46"/>
      <c r="M12" s="45" t="s">
        <v>57</v>
      </c>
      <c r="N12" s="46"/>
      <c r="O12" s="50" t="s">
        <v>57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51" t="s">
        <v>66</v>
      </c>
      <c r="B13" s="40">
        <v>3.0</v>
      </c>
      <c r="C13" s="39" t="s">
        <v>59</v>
      </c>
      <c r="D13" s="40"/>
      <c r="E13" s="39" t="s">
        <v>65</v>
      </c>
      <c r="F13" s="40"/>
      <c r="G13" s="39" t="s">
        <v>62</v>
      </c>
      <c r="H13" s="40"/>
      <c r="I13" s="39" t="s">
        <v>60</v>
      </c>
      <c r="J13" s="40"/>
      <c r="K13" s="47" t="s">
        <v>61</v>
      </c>
      <c r="L13" s="40">
        <v>16.0</v>
      </c>
      <c r="M13" s="48" t="s">
        <v>81</v>
      </c>
      <c r="N13" s="40">
        <v>16.0</v>
      </c>
      <c r="O13" s="48" t="s">
        <v>64</v>
      </c>
      <c r="P13" s="40">
        <v>38.0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56" t="s">
        <v>74</v>
      </c>
      <c r="B14" s="40">
        <v>12.0</v>
      </c>
      <c r="C14" s="56" t="s">
        <v>75</v>
      </c>
      <c r="D14" s="40">
        <v>11.0</v>
      </c>
      <c r="E14" s="48" t="s">
        <v>73</v>
      </c>
      <c r="F14" s="40">
        <v>11.0</v>
      </c>
      <c r="G14" s="48" t="s">
        <v>70</v>
      </c>
      <c r="H14" s="40">
        <v>9.0</v>
      </c>
      <c r="I14" s="40" t="s">
        <v>68</v>
      </c>
      <c r="J14" s="40"/>
      <c r="K14" s="39" t="s">
        <v>69</v>
      </c>
      <c r="L14" s="40"/>
      <c r="M14" s="39" t="s">
        <v>89</v>
      </c>
      <c r="N14" s="40"/>
      <c r="O14" s="48" t="s">
        <v>80</v>
      </c>
      <c r="P14" s="40">
        <v>2.0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 t="s">
        <v>58</v>
      </c>
      <c r="B15" s="40"/>
      <c r="C15" s="48" t="s">
        <v>79</v>
      </c>
      <c r="D15" s="40">
        <v>7.0</v>
      </c>
      <c r="E15" s="39" t="s">
        <v>243</v>
      </c>
      <c r="F15" s="40"/>
      <c r="G15" s="48" t="s">
        <v>78</v>
      </c>
      <c r="H15" s="40">
        <v>6.0</v>
      </c>
      <c r="I15" s="48" t="s">
        <v>83</v>
      </c>
      <c r="J15" s="40">
        <v>28.0</v>
      </c>
      <c r="K15" s="39" t="s">
        <v>77</v>
      </c>
      <c r="L15" s="40"/>
      <c r="M15" s="48" t="s">
        <v>71</v>
      </c>
      <c r="N15" s="40">
        <v>23.0</v>
      </c>
      <c r="O15" s="39" t="s">
        <v>72</v>
      </c>
      <c r="P15" s="40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57" t="s">
        <v>82</v>
      </c>
      <c r="B16" s="39"/>
      <c r="C16" s="58" t="s">
        <v>298</v>
      </c>
      <c r="D16" s="40"/>
      <c r="E16" s="48" t="s">
        <v>63</v>
      </c>
      <c r="F16" s="40">
        <v>5.0</v>
      </c>
      <c r="G16" s="39" t="s">
        <v>86</v>
      </c>
      <c r="H16" s="40"/>
      <c r="I16" s="48" t="s">
        <v>76</v>
      </c>
      <c r="J16" s="40">
        <v>0.0</v>
      </c>
      <c r="K16" s="51" t="s">
        <v>263</v>
      </c>
      <c r="L16" s="40">
        <v>0.0</v>
      </c>
      <c r="M16" s="39" t="s">
        <v>228</v>
      </c>
      <c r="N16" s="40"/>
      <c r="O16" s="39" t="s">
        <v>88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5" t="s">
        <v>90</v>
      </c>
      <c r="B18" s="46"/>
      <c r="C18" s="45" t="s">
        <v>90</v>
      </c>
      <c r="D18" s="46"/>
      <c r="E18" s="45" t="s">
        <v>90</v>
      </c>
      <c r="F18" s="46"/>
      <c r="G18" s="50" t="s">
        <v>90</v>
      </c>
      <c r="H18" s="46"/>
      <c r="I18" s="45" t="s">
        <v>90</v>
      </c>
      <c r="J18" s="46"/>
      <c r="K18" s="45" t="s">
        <v>90</v>
      </c>
      <c r="L18" s="46"/>
      <c r="M18" s="45" t="s">
        <v>90</v>
      </c>
      <c r="N18" s="46"/>
      <c r="O18" s="50" t="s">
        <v>90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8" t="s">
        <v>91</v>
      </c>
      <c r="B19" s="40">
        <v>2.0</v>
      </c>
      <c r="C19" s="39" t="s">
        <v>92</v>
      </c>
      <c r="D19" s="40"/>
      <c r="E19" s="48" t="s">
        <v>99</v>
      </c>
      <c r="F19" s="40">
        <v>7.0</v>
      </c>
      <c r="G19" s="48" t="s">
        <v>95</v>
      </c>
      <c r="H19" s="40">
        <v>10.0</v>
      </c>
      <c r="I19" s="39" t="s">
        <v>100</v>
      </c>
      <c r="J19" s="40"/>
      <c r="K19" s="39" t="s">
        <v>94</v>
      </c>
      <c r="L19" s="40"/>
      <c r="M19" s="48" t="s">
        <v>96</v>
      </c>
      <c r="N19" s="40">
        <v>4.0</v>
      </c>
      <c r="O19" s="48" t="s">
        <v>97</v>
      </c>
      <c r="P19" s="40">
        <v>1.0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8" t="s">
        <v>98</v>
      </c>
      <c r="B20" s="40">
        <v>13.0</v>
      </c>
      <c r="C20" s="48" t="s">
        <v>108</v>
      </c>
      <c r="D20" s="40">
        <v>10.0</v>
      </c>
      <c r="E20" s="40" t="s">
        <v>114</v>
      </c>
      <c r="F20" s="40"/>
      <c r="G20" s="39" t="s">
        <v>111</v>
      </c>
      <c r="H20" s="40"/>
      <c r="I20" s="47" t="s">
        <v>120</v>
      </c>
      <c r="J20" s="40">
        <v>1.0</v>
      </c>
      <c r="K20" s="48" t="s">
        <v>102</v>
      </c>
      <c r="L20" s="40">
        <v>11.0</v>
      </c>
      <c r="M20" s="40" t="s">
        <v>93</v>
      </c>
      <c r="N20" s="40"/>
      <c r="O20" s="48" t="s">
        <v>113</v>
      </c>
      <c r="P20" s="40">
        <v>0.0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 t="s">
        <v>115</v>
      </c>
      <c r="B21" s="39"/>
      <c r="C21" s="39" t="s">
        <v>279</v>
      </c>
      <c r="D21" s="40"/>
      <c r="E21" s="39" t="s">
        <v>122</v>
      </c>
      <c r="F21" s="39"/>
      <c r="G21" s="48" t="s">
        <v>103</v>
      </c>
      <c r="H21" s="40">
        <v>7.0</v>
      </c>
      <c r="I21" s="42" t="s">
        <v>112</v>
      </c>
      <c r="J21" s="40"/>
      <c r="K21" s="48" t="s">
        <v>110</v>
      </c>
      <c r="L21" s="40">
        <v>2.0</v>
      </c>
      <c r="M21" s="40" t="s">
        <v>278</v>
      </c>
      <c r="N21" s="40"/>
      <c r="O21" s="39" t="s">
        <v>121</v>
      </c>
      <c r="P21" s="40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 t="s">
        <v>264</v>
      </c>
      <c r="B22" s="39"/>
      <c r="C22" s="48" t="s">
        <v>281</v>
      </c>
      <c r="D22" s="40">
        <v>7.0</v>
      </c>
      <c r="E22" s="48" t="s">
        <v>106</v>
      </c>
      <c r="F22" s="40">
        <v>12.0</v>
      </c>
      <c r="G22" s="40" t="s">
        <v>280</v>
      </c>
      <c r="H22" s="39"/>
      <c r="I22" s="48" t="s">
        <v>117</v>
      </c>
      <c r="J22" s="40">
        <v>9.0</v>
      </c>
      <c r="K22" s="39" t="s">
        <v>118</v>
      </c>
      <c r="L22" s="40"/>
      <c r="M22" s="48" t="s">
        <v>299</v>
      </c>
      <c r="N22" s="40">
        <v>20.0</v>
      </c>
      <c r="O22" s="42" t="s">
        <v>105</v>
      </c>
      <c r="P22" s="40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5" t="s">
        <v>123</v>
      </c>
      <c r="B24" s="46"/>
      <c r="C24" s="45" t="s">
        <v>123</v>
      </c>
      <c r="D24" s="46"/>
      <c r="E24" s="45" t="s">
        <v>123</v>
      </c>
      <c r="F24" s="46"/>
      <c r="G24" s="50" t="s">
        <v>123</v>
      </c>
      <c r="H24" s="46"/>
      <c r="I24" s="45" t="s">
        <v>123</v>
      </c>
      <c r="J24" s="46"/>
      <c r="K24" s="45" t="s">
        <v>123</v>
      </c>
      <c r="L24" s="46"/>
      <c r="M24" s="45" t="s">
        <v>123</v>
      </c>
      <c r="N24" s="46"/>
      <c r="O24" s="50" t="s">
        <v>123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8" t="s">
        <v>124</v>
      </c>
      <c r="B25" s="40">
        <v>2.0</v>
      </c>
      <c r="C25" s="48" t="s">
        <v>125</v>
      </c>
      <c r="D25" s="40">
        <v>16.0</v>
      </c>
      <c r="E25" s="39" t="s">
        <v>131</v>
      </c>
      <c r="F25" s="40"/>
      <c r="G25" s="39" t="s">
        <v>128</v>
      </c>
      <c r="H25" s="40"/>
      <c r="I25" s="48" t="s">
        <v>126</v>
      </c>
      <c r="J25" s="40">
        <v>16.0</v>
      </c>
      <c r="K25" s="48" t="s">
        <v>127</v>
      </c>
      <c r="L25" s="40">
        <v>3.0</v>
      </c>
      <c r="M25" s="48" t="s">
        <v>129</v>
      </c>
      <c r="N25" s="40">
        <v>0.0</v>
      </c>
      <c r="O25" s="39" t="s">
        <v>138</v>
      </c>
      <c r="P25" s="40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 t="s">
        <v>140</v>
      </c>
      <c r="B26" s="39"/>
      <c r="C26" s="39" t="s">
        <v>133</v>
      </c>
      <c r="D26" s="40"/>
      <c r="E26" s="48" t="s">
        <v>139</v>
      </c>
      <c r="F26" s="40">
        <v>0.0</v>
      </c>
      <c r="G26" s="48" t="s">
        <v>136</v>
      </c>
      <c r="H26" s="40">
        <v>5.0</v>
      </c>
      <c r="I26" s="23" t="s">
        <v>244</v>
      </c>
      <c r="J26" s="39"/>
      <c r="K26" s="39" t="s">
        <v>135</v>
      </c>
      <c r="L26" s="40"/>
      <c r="M26" s="39" t="s">
        <v>145</v>
      </c>
      <c r="N26" s="39"/>
      <c r="O26" s="48" t="s">
        <v>130</v>
      </c>
      <c r="P26" s="40">
        <v>0.0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2" t="s">
        <v>132</v>
      </c>
      <c r="B27" s="39"/>
      <c r="C27" s="42" t="s">
        <v>141</v>
      </c>
      <c r="D27" s="39"/>
      <c r="E27" s="39" t="s">
        <v>282</v>
      </c>
      <c r="F27" s="39"/>
      <c r="G27" s="39" t="s">
        <v>144</v>
      </c>
      <c r="H27" s="39"/>
      <c r="I27" s="40" t="s">
        <v>284</v>
      </c>
      <c r="J27" s="39"/>
      <c r="K27" s="42" t="s">
        <v>283</v>
      </c>
      <c r="L27" s="40"/>
      <c r="M27" s="39" t="s">
        <v>285</v>
      </c>
      <c r="N27" s="40"/>
      <c r="O27" s="39" t="s">
        <v>146</v>
      </c>
      <c r="P27" s="40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5" t="s">
        <v>148</v>
      </c>
      <c r="B29" s="46"/>
      <c r="C29" s="45" t="s">
        <v>148</v>
      </c>
      <c r="D29" s="46"/>
      <c r="E29" s="45" t="s">
        <v>148</v>
      </c>
      <c r="F29" s="46"/>
      <c r="G29" s="50" t="s">
        <v>148</v>
      </c>
      <c r="H29" s="46"/>
      <c r="I29" s="45" t="s">
        <v>148</v>
      </c>
      <c r="J29" s="46"/>
      <c r="K29" s="45" t="s">
        <v>148</v>
      </c>
      <c r="L29" s="46"/>
      <c r="M29" s="44" t="s">
        <v>300</v>
      </c>
      <c r="N29" s="46"/>
      <c r="O29" s="45" t="s">
        <v>148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39" t="s">
        <v>149</v>
      </c>
      <c r="B30" s="40"/>
      <c r="C30" s="56" t="s">
        <v>150</v>
      </c>
      <c r="D30" s="40">
        <v>16.0</v>
      </c>
      <c r="E30" s="48" t="s">
        <v>156</v>
      </c>
      <c r="F30" s="40">
        <v>7.0</v>
      </c>
      <c r="G30" s="48" t="s">
        <v>153</v>
      </c>
      <c r="H30" s="40">
        <v>5.0</v>
      </c>
      <c r="I30" s="48" t="s">
        <v>151</v>
      </c>
      <c r="J30" s="40">
        <v>13.0</v>
      </c>
      <c r="K30" s="59" t="s">
        <v>152</v>
      </c>
      <c r="L30" s="40"/>
      <c r="M30" s="48" t="s">
        <v>154</v>
      </c>
      <c r="N30" s="40">
        <v>1.0</v>
      </c>
      <c r="O30" s="39" t="s">
        <v>155</v>
      </c>
      <c r="P30" s="40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8" t="s">
        <v>164</v>
      </c>
      <c r="B31" s="40">
        <v>-2.0</v>
      </c>
      <c r="C31" s="59" t="s">
        <v>158</v>
      </c>
      <c r="D31" s="40"/>
      <c r="E31" s="42" t="s">
        <v>159</v>
      </c>
      <c r="F31" s="39"/>
      <c r="G31" s="39" t="s">
        <v>161</v>
      </c>
      <c r="H31" s="39"/>
      <c r="I31" s="39" t="s">
        <v>286</v>
      </c>
      <c r="J31" s="39"/>
      <c r="K31" s="56" t="s">
        <v>160</v>
      </c>
      <c r="L31" s="40">
        <v>15.0</v>
      </c>
      <c r="M31" s="39" t="s">
        <v>162</v>
      </c>
      <c r="N31" s="39"/>
      <c r="O31" s="48" t="s">
        <v>163</v>
      </c>
      <c r="P31" s="40">
        <v>9.0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5" t="s">
        <v>165</v>
      </c>
      <c r="B33" s="46"/>
      <c r="C33" s="45" t="s">
        <v>165</v>
      </c>
      <c r="D33" s="46"/>
      <c r="E33" s="45" t="s">
        <v>165</v>
      </c>
      <c r="F33" s="46"/>
      <c r="G33" s="50" t="s">
        <v>165</v>
      </c>
      <c r="H33" s="46"/>
      <c r="I33" s="45" t="s">
        <v>165</v>
      </c>
      <c r="J33" s="46"/>
      <c r="K33" s="45" t="s">
        <v>165</v>
      </c>
      <c r="L33" s="46"/>
      <c r="M33" s="45" t="s">
        <v>165</v>
      </c>
      <c r="N33" s="46"/>
      <c r="O33" s="45" t="s">
        <v>165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8" t="s">
        <v>166</v>
      </c>
      <c r="B34" s="40">
        <v>18.0</v>
      </c>
      <c r="C34" s="48" t="s">
        <v>167</v>
      </c>
      <c r="D34" s="40">
        <v>12.0</v>
      </c>
      <c r="E34" s="56" t="s">
        <v>173</v>
      </c>
      <c r="F34" s="40">
        <v>14.0</v>
      </c>
      <c r="G34" s="39" t="s">
        <v>170</v>
      </c>
      <c r="H34" s="40"/>
      <c r="I34" s="48" t="s">
        <v>179</v>
      </c>
      <c r="J34" s="40">
        <v>6.0</v>
      </c>
      <c r="K34" s="39" t="s">
        <v>169</v>
      </c>
      <c r="L34" s="40"/>
      <c r="M34" s="39" t="s">
        <v>174</v>
      </c>
      <c r="N34" s="40"/>
      <c r="O34" s="39" t="s">
        <v>255</v>
      </c>
      <c r="P34" s="40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 t="s">
        <v>180</v>
      </c>
      <c r="B35" s="40"/>
      <c r="C35" s="39" t="s">
        <v>288</v>
      </c>
      <c r="D35" s="40"/>
      <c r="E35" s="59" t="s">
        <v>181</v>
      </c>
      <c r="F35" s="39"/>
      <c r="G35" s="48" t="s">
        <v>176</v>
      </c>
      <c r="H35" s="40">
        <v>-2.0</v>
      </c>
      <c r="I35" s="39" t="s">
        <v>287</v>
      </c>
      <c r="J35" s="40"/>
      <c r="K35" s="48" t="s">
        <v>177</v>
      </c>
      <c r="L35" s="40">
        <v>4.0</v>
      </c>
      <c r="M35" s="48" t="s">
        <v>168</v>
      </c>
      <c r="N35" s="40">
        <v>0.0</v>
      </c>
      <c r="O35" s="48" t="s">
        <v>172</v>
      </c>
      <c r="P35" s="40">
        <v>4.0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5" t="s">
        <v>289</v>
      </c>
      <c r="B37" s="46"/>
      <c r="C37" s="45" t="s">
        <v>289</v>
      </c>
      <c r="D37" s="46"/>
      <c r="E37" s="45" t="s">
        <v>289</v>
      </c>
      <c r="F37" s="46"/>
      <c r="G37" s="50" t="s">
        <v>289</v>
      </c>
      <c r="H37" s="46"/>
      <c r="I37" s="45" t="s">
        <v>289</v>
      </c>
      <c r="J37" s="46"/>
      <c r="K37" s="45" t="s">
        <v>289</v>
      </c>
      <c r="L37" s="46"/>
      <c r="M37" s="45" t="s">
        <v>289</v>
      </c>
      <c r="N37" s="46"/>
      <c r="O37" s="45" t="s">
        <v>289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7" t="s">
        <v>183</v>
      </c>
      <c r="B38" s="40">
        <v>2.0</v>
      </c>
      <c r="C38" s="48" t="s">
        <v>184</v>
      </c>
      <c r="D38" s="40">
        <v>4.0</v>
      </c>
      <c r="E38" s="48" t="s">
        <v>190</v>
      </c>
      <c r="F38" s="40">
        <v>0.0</v>
      </c>
      <c r="G38" s="48" t="s">
        <v>187</v>
      </c>
      <c r="H38" s="40">
        <v>4.0</v>
      </c>
      <c r="I38" s="48" t="s">
        <v>185</v>
      </c>
      <c r="J38" s="40">
        <v>1.0</v>
      </c>
      <c r="K38" s="39" t="s">
        <v>186</v>
      </c>
      <c r="L38" s="40"/>
      <c r="M38" s="39" t="s">
        <v>188</v>
      </c>
      <c r="N38" s="40"/>
      <c r="O38" s="39" t="s">
        <v>189</v>
      </c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 t="s">
        <v>191</v>
      </c>
      <c r="B39" s="40"/>
      <c r="C39" s="39" t="s">
        <v>192</v>
      </c>
      <c r="D39" s="40"/>
      <c r="E39" s="39" t="s">
        <v>198</v>
      </c>
      <c r="F39" s="39"/>
      <c r="G39" s="39" t="s">
        <v>195</v>
      </c>
      <c r="H39" s="40"/>
      <c r="I39" s="39" t="s">
        <v>193</v>
      </c>
      <c r="J39" s="40"/>
      <c r="K39" s="48" t="s">
        <v>194</v>
      </c>
      <c r="L39" s="40">
        <v>2.0</v>
      </c>
      <c r="M39" s="48" t="s">
        <v>196</v>
      </c>
      <c r="N39" s="40">
        <v>6.0</v>
      </c>
      <c r="O39" s="48" t="s">
        <v>197</v>
      </c>
      <c r="P39" s="40">
        <v>-1.0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>
        <f>SUM(B8:B39)</f>
        <v>74</v>
      </c>
      <c r="D41" s="48">
        <f>SUM(D8:D39)</f>
        <v>100</v>
      </c>
      <c r="F41" s="39">
        <f>SUM(F8:F39)</f>
        <v>59</v>
      </c>
      <c r="H41" s="39">
        <f>SUM(H8:H39)</f>
        <v>73</v>
      </c>
      <c r="J41" s="48">
        <f>SUM(J8:J39)</f>
        <v>92</v>
      </c>
      <c r="K41" s="39"/>
      <c r="L41" s="48">
        <f>SUM(L8:L39)</f>
        <v>92</v>
      </c>
      <c r="N41" s="48">
        <f>SUM(N8:N39)</f>
        <v>102</v>
      </c>
      <c r="P41" s="39">
        <f>SUM(P8:P39)</f>
        <v>71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52" t="s">
        <v>221</v>
      </c>
      <c r="B42" s="53"/>
      <c r="C42" s="52" t="s">
        <v>221</v>
      </c>
      <c r="D42" s="53"/>
      <c r="E42" s="52" t="s">
        <v>221</v>
      </c>
      <c r="F42" s="53"/>
      <c r="G42" s="52" t="s">
        <v>221</v>
      </c>
      <c r="H42" s="53"/>
      <c r="I42" s="52" t="s">
        <v>221</v>
      </c>
      <c r="J42" s="53"/>
      <c r="K42" s="52" t="s">
        <v>221</v>
      </c>
      <c r="L42" s="53"/>
      <c r="M42" s="52" t="s">
        <v>221</v>
      </c>
      <c r="N42" s="53"/>
      <c r="O42" s="52" t="s">
        <v>221</v>
      </c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60" t="s">
        <v>90</v>
      </c>
      <c r="B43" s="49"/>
      <c r="C43" s="46" t="s">
        <v>57</v>
      </c>
      <c r="E43" s="46" t="s">
        <v>32</v>
      </c>
      <c r="F43" s="49"/>
      <c r="G43" s="54" t="s">
        <v>32</v>
      </c>
      <c r="H43" s="49"/>
      <c r="I43" s="54" t="s">
        <v>32</v>
      </c>
      <c r="J43" s="49"/>
      <c r="K43" s="54" t="s">
        <v>57</v>
      </c>
      <c r="M43" s="46" t="s">
        <v>57</v>
      </c>
      <c r="N43" s="49"/>
      <c r="O43" s="46" t="s">
        <v>90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23" t="s">
        <v>107</v>
      </c>
      <c r="B44" s="49"/>
      <c r="C44" s="39" t="s">
        <v>301</v>
      </c>
      <c r="E44" s="39" t="s">
        <v>302</v>
      </c>
      <c r="F44" s="55"/>
      <c r="G44" s="39" t="s">
        <v>53</v>
      </c>
      <c r="H44" s="49"/>
      <c r="I44" s="39" t="s">
        <v>51</v>
      </c>
      <c r="J44" s="49"/>
      <c r="K44" s="39" t="s">
        <v>277</v>
      </c>
      <c r="M44" s="39" t="s">
        <v>303</v>
      </c>
      <c r="N44" s="49"/>
      <c r="O44" s="39" t="s">
        <v>304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 t="s">
        <v>123</v>
      </c>
      <c r="B45" s="49"/>
      <c r="C45" s="46" t="s">
        <v>123</v>
      </c>
      <c r="E45" s="46" t="s">
        <v>57</v>
      </c>
      <c r="F45" s="49"/>
      <c r="G45" s="54" t="s">
        <v>57</v>
      </c>
      <c r="H45" s="49"/>
      <c r="I45" s="54" t="s">
        <v>90</v>
      </c>
      <c r="J45" s="49"/>
      <c r="K45" s="54" t="s">
        <v>123</v>
      </c>
      <c r="M45" s="46" t="s">
        <v>90</v>
      </c>
      <c r="N45" s="49"/>
      <c r="O45" s="46" t="s">
        <v>123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0" t="s">
        <v>239</v>
      </c>
      <c r="B46" s="49"/>
      <c r="C46" s="39" t="s">
        <v>235</v>
      </c>
      <c r="E46" s="39" t="s">
        <v>87</v>
      </c>
      <c r="F46" s="49"/>
      <c r="G46" s="39" t="s">
        <v>305</v>
      </c>
      <c r="H46" s="49"/>
      <c r="I46" s="39" t="s">
        <v>306</v>
      </c>
      <c r="J46" s="49"/>
      <c r="K46" s="39" t="s">
        <v>307</v>
      </c>
      <c r="M46" s="39" t="s">
        <v>229</v>
      </c>
      <c r="N46" s="49"/>
      <c r="O46" s="39" t="s">
        <v>308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 t="s">
        <v>148</v>
      </c>
      <c r="B47" s="49"/>
      <c r="C47" s="46"/>
      <c r="E47" s="46" t="s">
        <v>90</v>
      </c>
      <c r="F47" s="49"/>
      <c r="G47" s="54" t="s">
        <v>123</v>
      </c>
      <c r="H47" s="49"/>
      <c r="I47" s="54"/>
      <c r="J47" s="49"/>
      <c r="K47" s="54" t="s">
        <v>165</v>
      </c>
      <c r="M47" s="46" t="s">
        <v>309</v>
      </c>
      <c r="N47" s="4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 t="s">
        <v>310</v>
      </c>
      <c r="B48" s="49"/>
      <c r="C48" s="39"/>
      <c r="E48" s="39" t="s">
        <v>311</v>
      </c>
      <c r="F48" s="49"/>
      <c r="G48" s="39" t="s">
        <v>312</v>
      </c>
      <c r="H48" s="49"/>
      <c r="I48" s="39"/>
      <c r="J48" s="49"/>
      <c r="K48" s="39" t="s">
        <v>238</v>
      </c>
      <c r="M48" s="39" t="s">
        <v>313</v>
      </c>
      <c r="N48" s="49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9"/>
      <c r="C49" s="39"/>
      <c r="E49" s="46" t="s">
        <v>123</v>
      </c>
      <c r="F49" s="49"/>
      <c r="G49" s="39"/>
      <c r="H49" s="49"/>
      <c r="I49" s="54"/>
      <c r="J49" s="49"/>
      <c r="N49" s="4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49"/>
      <c r="C50" s="39"/>
      <c r="E50" s="39" t="s">
        <v>314</v>
      </c>
      <c r="F50" s="49"/>
      <c r="G50" s="39"/>
      <c r="H50" s="49"/>
      <c r="I50" s="39"/>
      <c r="J50" s="49"/>
      <c r="N50" s="49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39"/>
      <c r="B51" s="39"/>
      <c r="C51" s="39"/>
      <c r="D51" s="39"/>
      <c r="E51" s="39"/>
      <c r="F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C52" s="39"/>
      <c r="D52" s="39"/>
      <c r="E52" s="39"/>
      <c r="F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15.13"/>
    <col customWidth="1" min="9" max="9" width="14.25"/>
    <col customWidth="1" min="11" max="11" width="13.0"/>
    <col customWidth="1" min="13" max="13" width="16.13"/>
    <col customWidth="1" min="15" max="15" width="13.0"/>
  </cols>
  <sheetData>
    <row r="1">
      <c r="A1" s="34" t="s">
        <v>315</v>
      </c>
      <c r="B1" s="35"/>
      <c r="C1" s="41" t="s">
        <v>291</v>
      </c>
      <c r="D1" s="61" t="s">
        <v>316</v>
      </c>
      <c r="E1" s="38" t="s">
        <v>293</v>
      </c>
      <c r="F1" s="36" t="s">
        <v>294</v>
      </c>
      <c r="G1" s="36" t="s">
        <v>295</v>
      </c>
      <c r="H1" s="36" t="s">
        <v>296</v>
      </c>
      <c r="I1" s="38"/>
      <c r="J1" s="40" t="s">
        <v>317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B2" s="39"/>
      <c r="D2" s="39"/>
      <c r="F2" s="39"/>
      <c r="G2" s="38"/>
      <c r="H2" s="39"/>
      <c r="I2" s="38"/>
      <c r="J2" s="39"/>
      <c r="K2" s="38"/>
      <c r="L2" s="39"/>
      <c r="M2" s="38"/>
      <c r="N2" s="39"/>
      <c r="P2" s="39"/>
      <c r="Q2" s="42"/>
      <c r="R2" s="39"/>
      <c r="S2" s="39"/>
      <c r="T2" s="39"/>
      <c r="U2" s="39"/>
      <c r="V2" s="39"/>
      <c r="W2" s="39"/>
      <c r="X2" s="39"/>
      <c r="Y2" s="39"/>
      <c r="Z2" s="39"/>
    </row>
    <row r="3">
      <c r="A3" s="38" t="s">
        <v>297</v>
      </c>
      <c r="B3" s="39"/>
      <c r="C3" s="38" t="s">
        <v>272</v>
      </c>
      <c r="D3" s="39"/>
      <c r="E3" s="38" t="s">
        <v>269</v>
      </c>
      <c r="F3" s="39"/>
      <c r="G3" s="38" t="s">
        <v>274</v>
      </c>
      <c r="H3" s="39"/>
      <c r="I3" s="38" t="s">
        <v>271</v>
      </c>
      <c r="J3" s="39"/>
      <c r="K3" s="38" t="s">
        <v>268</v>
      </c>
      <c r="L3" s="39"/>
      <c r="M3" s="38" t="s">
        <v>273</v>
      </c>
      <c r="N3" s="39"/>
      <c r="O3" s="38" t="s">
        <v>270</v>
      </c>
      <c r="P3" s="39"/>
      <c r="Q3" s="42"/>
      <c r="R3" s="39"/>
      <c r="S3" s="39"/>
      <c r="T3" s="39"/>
      <c r="U3" s="39"/>
      <c r="V3" s="39"/>
      <c r="W3" s="39"/>
      <c r="X3" s="39"/>
      <c r="Y3" s="39"/>
      <c r="Z3" s="39"/>
    </row>
    <row r="4">
      <c r="A4" s="42" t="s">
        <v>15</v>
      </c>
      <c r="B4" s="39"/>
      <c r="C4" s="42" t="s">
        <v>21</v>
      </c>
      <c r="D4" s="39"/>
      <c r="E4" s="42" t="s">
        <v>22</v>
      </c>
      <c r="F4" s="39"/>
      <c r="G4" s="42" t="s">
        <v>16</v>
      </c>
      <c r="H4" s="39"/>
      <c r="I4" s="43" t="s">
        <v>17</v>
      </c>
      <c r="J4" s="39"/>
      <c r="K4" s="42" t="s">
        <v>19</v>
      </c>
      <c r="L4" s="39"/>
      <c r="M4" s="42" t="s">
        <v>20</v>
      </c>
      <c r="N4" s="39"/>
      <c r="O4" s="42" t="s">
        <v>18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23</v>
      </c>
      <c r="B5" s="39"/>
      <c r="C5" s="40" t="s">
        <v>29</v>
      </c>
      <c r="D5" s="39"/>
      <c r="E5" s="40" t="s">
        <v>30</v>
      </c>
      <c r="F5" s="39"/>
      <c r="G5" s="40" t="s">
        <v>24</v>
      </c>
      <c r="H5" s="39"/>
      <c r="I5" s="40" t="s">
        <v>25</v>
      </c>
      <c r="J5" s="39"/>
      <c r="K5" s="40" t="s">
        <v>27</v>
      </c>
      <c r="L5" s="39"/>
      <c r="M5" s="40" t="s">
        <v>28</v>
      </c>
      <c r="N5" s="39"/>
      <c r="O5" s="40" t="s">
        <v>26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4" t="s">
        <v>31</v>
      </c>
      <c r="C6" s="39"/>
      <c r="D6" s="44" t="s">
        <v>31</v>
      </c>
      <c r="E6" s="39"/>
      <c r="F6" s="44" t="s">
        <v>31</v>
      </c>
      <c r="G6" s="39"/>
      <c r="H6" s="44" t="s">
        <v>31</v>
      </c>
      <c r="I6" s="39"/>
      <c r="J6" s="44" t="s">
        <v>31</v>
      </c>
      <c r="K6" s="42"/>
      <c r="L6" s="44" t="s">
        <v>31</v>
      </c>
      <c r="M6" s="39"/>
      <c r="N6" s="44" t="s">
        <v>31</v>
      </c>
      <c r="O6" s="39"/>
      <c r="P6" s="44" t="s">
        <v>31</v>
      </c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5" t="s">
        <v>32</v>
      </c>
      <c r="B7" s="45"/>
      <c r="C7" s="45" t="s">
        <v>32</v>
      </c>
      <c r="D7" s="45"/>
      <c r="E7" s="45" t="s">
        <v>32</v>
      </c>
      <c r="F7" s="46"/>
      <c r="G7" s="45" t="s">
        <v>32</v>
      </c>
      <c r="H7" s="46"/>
      <c r="I7" s="45" t="s">
        <v>32</v>
      </c>
      <c r="J7" s="46"/>
      <c r="K7" s="45" t="s">
        <v>32</v>
      </c>
      <c r="L7" s="46"/>
      <c r="M7" s="45" t="s">
        <v>32</v>
      </c>
      <c r="N7" s="46"/>
      <c r="O7" s="45" t="s">
        <v>32</v>
      </c>
      <c r="P7" s="46"/>
      <c r="Q7" s="45"/>
      <c r="R7" s="46"/>
      <c r="S7" s="46"/>
      <c r="T7" s="46"/>
      <c r="U7" s="46"/>
      <c r="V7" s="46"/>
      <c r="W7" s="46"/>
      <c r="X7" s="46"/>
      <c r="Y7" s="46"/>
      <c r="Z7" s="46"/>
    </row>
    <row r="8">
      <c r="A8" s="47" t="s">
        <v>33</v>
      </c>
      <c r="B8" s="40">
        <v>33.0</v>
      </c>
      <c r="C8" s="39" t="s">
        <v>39</v>
      </c>
      <c r="D8" s="40"/>
      <c r="E8" s="48" t="s">
        <v>223</v>
      </c>
      <c r="F8" s="40">
        <v>7.0</v>
      </c>
      <c r="G8" s="48" t="s">
        <v>38</v>
      </c>
      <c r="H8" s="40">
        <v>4.0</v>
      </c>
      <c r="I8" s="56" t="s">
        <v>35</v>
      </c>
      <c r="J8" s="40">
        <v>19.0</v>
      </c>
      <c r="K8" s="48" t="s">
        <v>37</v>
      </c>
      <c r="L8" s="40">
        <v>17.0</v>
      </c>
      <c r="M8" s="48" t="s">
        <v>34</v>
      </c>
      <c r="N8" s="40">
        <v>28.0</v>
      </c>
      <c r="O8" s="48" t="s">
        <v>36</v>
      </c>
      <c r="P8" s="40">
        <v>30.0</v>
      </c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 t="s">
        <v>41</v>
      </c>
      <c r="B9" s="40"/>
      <c r="C9" s="48" t="s">
        <v>47</v>
      </c>
      <c r="D9" s="40">
        <v>27.0</v>
      </c>
      <c r="E9" s="39" t="s">
        <v>40</v>
      </c>
      <c r="F9" s="39"/>
      <c r="G9" s="40" t="s">
        <v>55</v>
      </c>
      <c r="H9" s="40"/>
      <c r="I9" s="59" t="s">
        <v>275</v>
      </c>
      <c r="J9" s="39"/>
      <c r="K9" s="39" t="s">
        <v>45</v>
      </c>
      <c r="L9" s="39"/>
      <c r="M9" s="39" t="s">
        <v>242</v>
      </c>
      <c r="N9" s="39"/>
      <c r="O9" s="39" t="s">
        <v>44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 t="s">
        <v>49</v>
      </c>
      <c r="B10" s="39"/>
      <c r="C10" s="39" t="s">
        <v>43</v>
      </c>
      <c r="D10" s="39"/>
      <c r="E10" s="39" t="s">
        <v>56</v>
      </c>
      <c r="F10" s="39"/>
      <c r="G10" s="39" t="s">
        <v>318</v>
      </c>
      <c r="H10" s="39"/>
      <c r="I10" s="39" t="s">
        <v>46</v>
      </c>
      <c r="J10" s="39"/>
      <c r="K10" s="39" t="s">
        <v>276</v>
      </c>
      <c r="L10" s="40"/>
      <c r="M10" s="39" t="s">
        <v>54</v>
      </c>
      <c r="N10" s="39"/>
      <c r="O10" s="39" t="s">
        <v>52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5" t="s">
        <v>57</v>
      </c>
      <c r="B12" s="46"/>
      <c r="C12" s="45" t="s">
        <v>57</v>
      </c>
      <c r="D12" s="46"/>
      <c r="E12" s="45" t="s">
        <v>57</v>
      </c>
      <c r="F12" s="46"/>
      <c r="G12" s="45" t="s">
        <v>57</v>
      </c>
      <c r="H12" s="46"/>
      <c r="I12" s="45" t="s">
        <v>57</v>
      </c>
      <c r="J12" s="46"/>
      <c r="K12" s="50" t="s">
        <v>57</v>
      </c>
      <c r="L12" s="46"/>
      <c r="M12" s="45" t="s">
        <v>57</v>
      </c>
      <c r="N12" s="46"/>
      <c r="O12" s="45" t="s">
        <v>57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51" t="s">
        <v>66</v>
      </c>
      <c r="B13" s="40">
        <v>22.0</v>
      </c>
      <c r="C13" s="48" t="s">
        <v>64</v>
      </c>
      <c r="D13" s="40">
        <v>17.0</v>
      </c>
      <c r="E13" s="39" t="s">
        <v>65</v>
      </c>
      <c r="F13" s="40"/>
      <c r="G13" s="39" t="s">
        <v>59</v>
      </c>
      <c r="H13" s="40"/>
      <c r="I13" s="39" t="s">
        <v>60</v>
      </c>
      <c r="J13" s="40"/>
      <c r="K13" s="48" t="s">
        <v>62</v>
      </c>
      <c r="L13" s="40">
        <v>19.0</v>
      </c>
      <c r="M13" s="48" t="s">
        <v>81</v>
      </c>
      <c r="N13" s="40">
        <v>8.0</v>
      </c>
      <c r="O13" s="48" t="s">
        <v>58</v>
      </c>
      <c r="P13" s="40">
        <v>14.0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 t="s">
        <v>74</v>
      </c>
      <c r="B14" s="40"/>
      <c r="C14" s="39" t="s">
        <v>68</v>
      </c>
      <c r="D14" s="40"/>
      <c r="E14" s="48" t="s">
        <v>73</v>
      </c>
      <c r="F14" s="40">
        <v>21.0</v>
      </c>
      <c r="G14" s="48" t="s">
        <v>75</v>
      </c>
      <c r="H14" s="40">
        <v>12.0</v>
      </c>
      <c r="I14" s="48" t="s">
        <v>83</v>
      </c>
      <c r="J14" s="40">
        <v>12.0</v>
      </c>
      <c r="K14" s="39" t="s">
        <v>70</v>
      </c>
      <c r="L14" s="40"/>
      <c r="M14" s="59" t="s">
        <v>89</v>
      </c>
      <c r="N14" s="40"/>
      <c r="O14" s="39" t="s">
        <v>69</v>
      </c>
      <c r="P14" s="40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7" t="s">
        <v>61</v>
      </c>
      <c r="B15" s="40">
        <v>11.0</v>
      </c>
      <c r="C15" s="48" t="s">
        <v>80</v>
      </c>
      <c r="D15" s="40">
        <v>5.0</v>
      </c>
      <c r="E15" s="48" t="s">
        <v>243</v>
      </c>
      <c r="F15" s="40">
        <v>9.0</v>
      </c>
      <c r="G15" s="48" t="s">
        <v>79</v>
      </c>
      <c r="H15" s="40">
        <v>11.0</v>
      </c>
      <c r="I15" s="48" t="s">
        <v>76</v>
      </c>
      <c r="J15" s="40">
        <v>6.0</v>
      </c>
      <c r="K15" s="48" t="s">
        <v>78</v>
      </c>
      <c r="L15" s="40">
        <v>20.0</v>
      </c>
      <c r="M15" s="39" t="s">
        <v>71</v>
      </c>
      <c r="N15" s="40"/>
      <c r="O15" s="48" t="s">
        <v>77</v>
      </c>
      <c r="P15" s="40">
        <v>13.0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 t="s">
        <v>82</v>
      </c>
      <c r="B16" s="39"/>
      <c r="C16" s="39" t="s">
        <v>72</v>
      </c>
      <c r="D16" s="40"/>
      <c r="E16" s="39" t="s">
        <v>63</v>
      </c>
      <c r="F16" s="40"/>
      <c r="G16" s="42" t="s">
        <v>298</v>
      </c>
      <c r="H16" s="40"/>
      <c r="I16" s="40" t="s">
        <v>319</v>
      </c>
      <c r="J16" s="40"/>
      <c r="K16" s="39" t="s">
        <v>86</v>
      </c>
      <c r="L16" s="40"/>
      <c r="M16" s="56" t="s">
        <v>228</v>
      </c>
      <c r="N16" s="40">
        <v>2.0</v>
      </c>
      <c r="O16" s="42" t="s">
        <v>263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5" t="s">
        <v>90</v>
      </c>
      <c r="B18" s="46"/>
      <c r="C18" s="45" t="s">
        <v>90</v>
      </c>
      <c r="D18" s="46"/>
      <c r="E18" s="45" t="s">
        <v>90</v>
      </c>
      <c r="F18" s="46"/>
      <c r="G18" s="45" t="s">
        <v>90</v>
      </c>
      <c r="H18" s="46"/>
      <c r="I18" s="45" t="s">
        <v>90</v>
      </c>
      <c r="J18" s="46"/>
      <c r="K18" s="50" t="s">
        <v>90</v>
      </c>
      <c r="L18" s="46"/>
      <c r="M18" s="45" t="s">
        <v>90</v>
      </c>
      <c r="N18" s="46"/>
      <c r="O18" s="45" t="s">
        <v>90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8" t="s">
        <v>91</v>
      </c>
      <c r="B19" s="40">
        <v>14.0</v>
      </c>
      <c r="C19" s="39" t="s">
        <v>97</v>
      </c>
      <c r="D19" s="40"/>
      <c r="E19" s="48" t="s">
        <v>99</v>
      </c>
      <c r="F19" s="40">
        <v>19.0</v>
      </c>
      <c r="G19" s="48" t="s">
        <v>92</v>
      </c>
      <c r="H19" s="40">
        <v>0.0</v>
      </c>
      <c r="I19" s="39" t="s">
        <v>100</v>
      </c>
      <c r="J19" s="40"/>
      <c r="K19" s="39" t="s">
        <v>95</v>
      </c>
      <c r="L19" s="40"/>
      <c r="M19" s="39" t="s">
        <v>96</v>
      </c>
      <c r="N19" s="40"/>
      <c r="O19" s="39" t="s">
        <v>94</v>
      </c>
      <c r="P19" s="40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8" t="s">
        <v>98</v>
      </c>
      <c r="B20" s="40">
        <v>2.0</v>
      </c>
      <c r="C20" s="48" t="s">
        <v>113</v>
      </c>
      <c r="D20" s="40">
        <v>2.0</v>
      </c>
      <c r="E20" s="47" t="s">
        <v>114</v>
      </c>
      <c r="F20" s="40">
        <v>15.0</v>
      </c>
      <c r="G20" s="56" t="s">
        <v>108</v>
      </c>
      <c r="H20" s="40">
        <v>10.0</v>
      </c>
      <c r="I20" s="40" t="s">
        <v>120</v>
      </c>
      <c r="J20" s="40"/>
      <c r="K20" s="48" t="s">
        <v>111</v>
      </c>
      <c r="L20" s="40">
        <v>7.0</v>
      </c>
      <c r="M20" s="47" t="s">
        <v>93</v>
      </c>
      <c r="N20" s="40">
        <v>21.0</v>
      </c>
      <c r="O20" s="48" t="s">
        <v>102</v>
      </c>
      <c r="P20" s="40">
        <v>20.0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 t="s">
        <v>115</v>
      </c>
      <c r="B21" s="39"/>
      <c r="C21" s="48" t="s">
        <v>121</v>
      </c>
      <c r="D21" s="40">
        <v>11.0</v>
      </c>
      <c r="E21" s="39" t="s">
        <v>122</v>
      </c>
      <c r="F21" s="39"/>
      <c r="G21" s="39" t="s">
        <v>279</v>
      </c>
      <c r="H21" s="40"/>
      <c r="I21" s="51" t="s">
        <v>112</v>
      </c>
      <c r="J21" s="40">
        <v>4.0</v>
      </c>
      <c r="K21" s="48" t="s">
        <v>103</v>
      </c>
      <c r="L21" s="40">
        <v>2.0</v>
      </c>
      <c r="M21" s="47" t="s">
        <v>278</v>
      </c>
      <c r="N21" s="40">
        <v>6.0</v>
      </c>
      <c r="O21" s="48" t="s">
        <v>110</v>
      </c>
      <c r="P21" s="40">
        <v>5.0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 t="s">
        <v>264</v>
      </c>
      <c r="B22" s="39"/>
      <c r="C22" s="42" t="s">
        <v>105</v>
      </c>
      <c r="D22" s="39"/>
      <c r="E22" s="39" t="s">
        <v>106</v>
      </c>
      <c r="F22" s="40"/>
      <c r="G22" s="59" t="s">
        <v>281</v>
      </c>
      <c r="H22" s="39"/>
      <c r="I22" s="48" t="s">
        <v>117</v>
      </c>
      <c r="J22" s="40">
        <v>13.0</v>
      </c>
      <c r="K22" s="40" t="s">
        <v>280</v>
      </c>
      <c r="L22" s="40"/>
      <c r="M22" s="39" t="s">
        <v>299</v>
      </c>
      <c r="N22" s="40"/>
      <c r="O22" s="39" t="s">
        <v>118</v>
      </c>
      <c r="P22" s="40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5" t="s">
        <v>123</v>
      </c>
      <c r="B24" s="46"/>
      <c r="C24" s="45" t="s">
        <v>123</v>
      </c>
      <c r="D24" s="46"/>
      <c r="E24" s="45" t="s">
        <v>123</v>
      </c>
      <c r="F24" s="46"/>
      <c r="G24" s="45" t="s">
        <v>123</v>
      </c>
      <c r="H24" s="46"/>
      <c r="I24" s="45" t="s">
        <v>123</v>
      </c>
      <c r="J24" s="46"/>
      <c r="K24" s="50" t="s">
        <v>123</v>
      </c>
      <c r="L24" s="46"/>
      <c r="M24" s="45" t="s">
        <v>123</v>
      </c>
      <c r="N24" s="46"/>
      <c r="O24" s="45" t="s">
        <v>123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8" t="s">
        <v>124</v>
      </c>
      <c r="B25" s="40">
        <v>11.0</v>
      </c>
      <c r="C25" s="39" t="s">
        <v>138</v>
      </c>
      <c r="D25" s="40"/>
      <c r="E25" s="48" t="s">
        <v>131</v>
      </c>
      <c r="F25" s="40">
        <v>10.0</v>
      </c>
      <c r="G25" s="48" t="s">
        <v>125</v>
      </c>
      <c r="H25" s="40">
        <v>4.0</v>
      </c>
      <c r="I25" s="48" t="s">
        <v>126</v>
      </c>
      <c r="J25" s="40">
        <v>16.0</v>
      </c>
      <c r="K25" s="39" t="s">
        <v>128</v>
      </c>
      <c r="L25" s="40"/>
      <c r="M25" s="48" t="s">
        <v>129</v>
      </c>
      <c r="N25" s="40">
        <v>8.0</v>
      </c>
      <c r="O25" s="48" t="s">
        <v>127</v>
      </c>
      <c r="P25" s="40">
        <v>0.0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 t="s">
        <v>140</v>
      </c>
      <c r="B26" s="39"/>
      <c r="C26" s="48" t="s">
        <v>137</v>
      </c>
      <c r="D26" s="40">
        <v>0.0</v>
      </c>
      <c r="E26" s="39" t="s">
        <v>139</v>
      </c>
      <c r="F26" s="39"/>
      <c r="G26" s="39" t="s">
        <v>133</v>
      </c>
      <c r="H26" s="39"/>
      <c r="I26" s="39" t="s">
        <v>146</v>
      </c>
      <c r="J26" s="39"/>
      <c r="K26" s="48" t="s">
        <v>136</v>
      </c>
      <c r="L26" s="40">
        <v>1.0</v>
      </c>
      <c r="M26" s="39" t="s">
        <v>145</v>
      </c>
      <c r="N26" s="39"/>
      <c r="O26" s="39" t="s">
        <v>135</v>
      </c>
      <c r="P26" s="40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2" t="s">
        <v>132</v>
      </c>
      <c r="B27" s="39"/>
      <c r="C27" s="39" t="s">
        <v>130</v>
      </c>
      <c r="D27" s="39"/>
      <c r="E27" s="39" t="s">
        <v>282</v>
      </c>
      <c r="F27" s="39"/>
      <c r="G27" s="42" t="s">
        <v>141</v>
      </c>
      <c r="H27" s="39"/>
      <c r="I27" s="39" t="s">
        <v>244</v>
      </c>
      <c r="J27" s="39"/>
      <c r="K27" s="39" t="s">
        <v>144</v>
      </c>
      <c r="L27" s="40"/>
      <c r="M27" s="39" t="s">
        <v>285</v>
      </c>
      <c r="N27" s="40"/>
      <c r="O27" s="42" t="s">
        <v>283</v>
      </c>
      <c r="P27" s="40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5" t="s">
        <v>148</v>
      </c>
      <c r="B29" s="46"/>
      <c r="C29" s="45" t="s">
        <v>148</v>
      </c>
      <c r="D29" s="46"/>
      <c r="E29" s="45" t="s">
        <v>148</v>
      </c>
      <c r="F29" s="46"/>
      <c r="G29" s="45" t="s">
        <v>148</v>
      </c>
      <c r="H29" s="46"/>
      <c r="I29" s="45" t="s">
        <v>148</v>
      </c>
      <c r="J29" s="46"/>
      <c r="K29" s="50" t="s">
        <v>148</v>
      </c>
      <c r="L29" s="46"/>
      <c r="M29" s="44" t="s">
        <v>300</v>
      </c>
      <c r="N29" s="46"/>
      <c r="O29" s="45" t="s">
        <v>148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39" t="s">
        <v>149</v>
      </c>
      <c r="B30" s="40"/>
      <c r="C30" s="48" t="s">
        <v>155</v>
      </c>
      <c r="D30" s="40">
        <v>10.0</v>
      </c>
      <c r="E30" s="48" t="s">
        <v>156</v>
      </c>
      <c r="F30" s="40">
        <v>0.0</v>
      </c>
      <c r="G30" s="48" t="s">
        <v>150</v>
      </c>
      <c r="H30" s="40">
        <v>0.0</v>
      </c>
      <c r="I30" s="48" t="s">
        <v>151</v>
      </c>
      <c r="J30" s="40">
        <v>6.0</v>
      </c>
      <c r="K30" s="48" t="s">
        <v>153</v>
      </c>
      <c r="L30" s="40">
        <v>5.0</v>
      </c>
      <c r="M30" s="48" t="s">
        <v>154</v>
      </c>
      <c r="N30" s="40">
        <v>10.0</v>
      </c>
      <c r="O30" s="39" t="s">
        <v>152</v>
      </c>
      <c r="P30" s="40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8" t="s">
        <v>164</v>
      </c>
      <c r="B31" s="40">
        <v>1.0</v>
      </c>
      <c r="C31" s="39" t="s">
        <v>163</v>
      </c>
      <c r="D31" s="40"/>
      <c r="E31" s="42" t="s">
        <v>159</v>
      </c>
      <c r="F31" s="39"/>
      <c r="G31" s="39" t="s">
        <v>158</v>
      </c>
      <c r="H31" s="39"/>
      <c r="I31" s="39" t="s">
        <v>286</v>
      </c>
      <c r="J31" s="39"/>
      <c r="K31" s="39" t="s">
        <v>161</v>
      </c>
      <c r="L31" s="40"/>
      <c r="M31" s="39" t="s">
        <v>162</v>
      </c>
      <c r="N31" s="39"/>
      <c r="O31" s="48" t="s">
        <v>160</v>
      </c>
      <c r="P31" s="40">
        <v>10.0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5" t="s">
        <v>165</v>
      </c>
      <c r="B33" s="46"/>
      <c r="C33" s="45" t="s">
        <v>165</v>
      </c>
      <c r="D33" s="46"/>
      <c r="E33" s="45" t="s">
        <v>165</v>
      </c>
      <c r="F33" s="46"/>
      <c r="G33" s="45" t="s">
        <v>165</v>
      </c>
      <c r="H33" s="46"/>
      <c r="I33" s="45" t="s">
        <v>165</v>
      </c>
      <c r="J33" s="46"/>
      <c r="K33" s="50" t="s">
        <v>165</v>
      </c>
      <c r="L33" s="46"/>
      <c r="M33" s="45" t="s">
        <v>165</v>
      </c>
      <c r="N33" s="46"/>
      <c r="O33" s="45" t="s">
        <v>165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8" t="s">
        <v>166</v>
      </c>
      <c r="B34" s="40">
        <v>7.0</v>
      </c>
      <c r="C34" s="48" t="s">
        <v>255</v>
      </c>
      <c r="D34" s="40">
        <v>-4.0</v>
      </c>
      <c r="E34" s="48" t="s">
        <v>173</v>
      </c>
      <c r="F34" s="40">
        <v>0.0</v>
      </c>
      <c r="G34" s="39" t="s">
        <v>167</v>
      </c>
      <c r="H34" s="40"/>
      <c r="I34" s="39" t="s">
        <v>179</v>
      </c>
      <c r="J34" s="40"/>
      <c r="K34" s="56" t="s">
        <v>170</v>
      </c>
      <c r="L34" s="40">
        <v>-6.0</v>
      </c>
      <c r="M34" s="48" t="s">
        <v>174</v>
      </c>
      <c r="N34" s="40">
        <v>3.0</v>
      </c>
      <c r="O34" s="48" t="s">
        <v>169</v>
      </c>
      <c r="P34" s="40">
        <v>23.0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 t="s">
        <v>180</v>
      </c>
      <c r="B35" s="40"/>
      <c r="C35" s="39" t="s">
        <v>172</v>
      </c>
      <c r="D35" s="40"/>
      <c r="E35" s="39" t="s">
        <v>181</v>
      </c>
      <c r="F35" s="39"/>
      <c r="G35" s="48" t="s">
        <v>288</v>
      </c>
      <c r="H35" s="40">
        <v>1.0</v>
      </c>
      <c r="I35" s="48" t="s">
        <v>287</v>
      </c>
      <c r="J35" s="40">
        <v>1.0</v>
      </c>
      <c r="K35" s="59" t="s">
        <v>176</v>
      </c>
      <c r="L35" s="40"/>
      <c r="M35" s="39" t="s">
        <v>168</v>
      </c>
      <c r="N35" s="40"/>
      <c r="O35" s="39" t="s">
        <v>177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5" t="s">
        <v>289</v>
      </c>
      <c r="B37" s="46"/>
      <c r="C37" s="45" t="s">
        <v>289</v>
      </c>
      <c r="D37" s="46"/>
      <c r="E37" s="45" t="s">
        <v>289</v>
      </c>
      <c r="F37" s="46"/>
      <c r="G37" s="45" t="s">
        <v>289</v>
      </c>
      <c r="H37" s="46"/>
      <c r="I37" s="45" t="s">
        <v>289</v>
      </c>
      <c r="J37" s="46"/>
      <c r="K37" s="50" t="s">
        <v>289</v>
      </c>
      <c r="L37" s="46"/>
      <c r="M37" s="45" t="s">
        <v>289</v>
      </c>
      <c r="N37" s="46"/>
      <c r="O37" s="45" t="s">
        <v>289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8" t="s">
        <v>183</v>
      </c>
      <c r="B38" s="40">
        <v>1.0</v>
      </c>
      <c r="C38" s="39" t="s">
        <v>189</v>
      </c>
      <c r="D38" s="40"/>
      <c r="E38" s="48" t="s">
        <v>190</v>
      </c>
      <c r="F38" s="40">
        <v>4.0</v>
      </c>
      <c r="G38" s="48" t="s">
        <v>184</v>
      </c>
      <c r="H38" s="40">
        <v>-3.0</v>
      </c>
      <c r="I38" s="48" t="s">
        <v>185</v>
      </c>
      <c r="J38" s="40">
        <v>4.0</v>
      </c>
      <c r="K38" s="48" t="s">
        <v>187</v>
      </c>
      <c r="L38" s="40">
        <v>6.0</v>
      </c>
      <c r="M38" s="48" t="s">
        <v>188</v>
      </c>
      <c r="N38" s="40">
        <v>4.0</v>
      </c>
      <c r="O38" s="48" t="s">
        <v>186</v>
      </c>
      <c r="P38" s="40">
        <v>-1.0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 t="s">
        <v>191</v>
      </c>
      <c r="B39" s="40"/>
      <c r="C39" s="48" t="s">
        <v>197</v>
      </c>
      <c r="D39" s="40">
        <v>0.0</v>
      </c>
      <c r="E39" s="39" t="s">
        <v>198</v>
      </c>
      <c r="F39" s="39"/>
      <c r="G39" s="39" t="s">
        <v>192</v>
      </c>
      <c r="H39" s="40"/>
      <c r="I39" s="39" t="s">
        <v>193</v>
      </c>
      <c r="J39" s="40"/>
      <c r="K39" s="39" t="s">
        <v>195</v>
      </c>
      <c r="L39" s="40"/>
      <c r="M39" s="39" t="s">
        <v>196</v>
      </c>
      <c r="N39" s="40"/>
      <c r="O39" s="39" t="s">
        <v>194</v>
      </c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>
        <f>SUM(B8:B39)</f>
        <v>102</v>
      </c>
      <c r="D41" s="39">
        <f>SUM(D8:D39)</f>
        <v>68</v>
      </c>
      <c r="F41" s="39">
        <f>SUM(F8:F39)</f>
        <v>85</v>
      </c>
      <c r="H41" s="39">
        <f>SUM(H8:H39)</f>
        <v>39</v>
      </c>
      <c r="J41" s="39">
        <f>SUM(J8:J39)</f>
        <v>81</v>
      </c>
      <c r="L41" s="39">
        <f>SUM(L8:L39)</f>
        <v>71</v>
      </c>
      <c r="N41" s="39">
        <f>SUM(N8:N39)</f>
        <v>90</v>
      </c>
      <c r="O41" s="39"/>
      <c r="P41" s="39">
        <f>SUM(P8:P39)</f>
        <v>114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 t="s">
        <v>221</v>
      </c>
      <c r="B42" s="49"/>
      <c r="C42" s="39" t="s">
        <v>221</v>
      </c>
      <c r="D42" s="49"/>
      <c r="E42" s="39" t="s">
        <v>221</v>
      </c>
      <c r="F42" s="49"/>
      <c r="G42" s="39" t="s">
        <v>221</v>
      </c>
      <c r="H42" s="49"/>
      <c r="I42" s="39" t="s">
        <v>221</v>
      </c>
      <c r="J42" s="49"/>
      <c r="K42" s="39" t="s">
        <v>221</v>
      </c>
      <c r="L42" s="49"/>
      <c r="M42" s="39" t="s">
        <v>221</v>
      </c>
      <c r="N42" s="49"/>
      <c r="O42" s="39" t="s">
        <v>221</v>
      </c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6" t="s">
        <v>123</v>
      </c>
      <c r="B43" s="49"/>
      <c r="C43" s="46" t="s">
        <v>32</v>
      </c>
      <c r="E43" s="46" t="s">
        <v>32</v>
      </c>
      <c r="F43" s="49"/>
      <c r="G43" s="46" t="s">
        <v>57</v>
      </c>
      <c r="H43" s="49"/>
      <c r="I43" s="54" t="s">
        <v>32</v>
      </c>
      <c r="J43" s="49"/>
      <c r="K43" s="54" t="s">
        <v>32</v>
      </c>
      <c r="M43" s="46" t="s">
        <v>57</v>
      </c>
      <c r="N43" s="49"/>
      <c r="O43" s="54" t="s">
        <v>57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 t="s">
        <v>239</v>
      </c>
      <c r="B44" s="49"/>
      <c r="C44" s="39" t="s">
        <v>224</v>
      </c>
      <c r="E44" s="39" t="s">
        <v>302</v>
      </c>
      <c r="F44" s="55"/>
      <c r="G44" s="39" t="s">
        <v>301</v>
      </c>
      <c r="H44" s="49"/>
      <c r="I44" s="39" t="s">
        <v>51</v>
      </c>
      <c r="J44" s="49"/>
      <c r="K44" s="39" t="s">
        <v>53</v>
      </c>
      <c r="M44" s="39" t="s">
        <v>303</v>
      </c>
      <c r="N44" s="49"/>
      <c r="O44" s="39" t="s">
        <v>277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 t="s">
        <v>148</v>
      </c>
      <c r="B45" s="49"/>
      <c r="C45" s="46" t="s">
        <v>57</v>
      </c>
      <c r="E45" s="46" t="s">
        <v>57</v>
      </c>
      <c r="F45" s="49"/>
      <c r="G45" s="46" t="s">
        <v>123</v>
      </c>
      <c r="H45" s="49"/>
      <c r="I45" s="54" t="s">
        <v>90</v>
      </c>
      <c r="J45" s="49"/>
      <c r="K45" s="54" t="s">
        <v>57</v>
      </c>
      <c r="M45" s="46" t="s">
        <v>90</v>
      </c>
      <c r="N45" s="49"/>
      <c r="O45" s="54" t="s">
        <v>90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 t="s">
        <v>310</v>
      </c>
      <c r="B46" s="49"/>
      <c r="C46" s="39" t="s">
        <v>88</v>
      </c>
      <c r="E46" s="39" t="s">
        <v>87</v>
      </c>
      <c r="F46" s="49"/>
      <c r="G46" s="39" t="s">
        <v>235</v>
      </c>
      <c r="H46" s="49"/>
      <c r="I46" s="39" t="s">
        <v>306</v>
      </c>
      <c r="J46" s="49"/>
      <c r="K46" s="39" t="s">
        <v>305</v>
      </c>
      <c r="M46" s="39" t="s">
        <v>229</v>
      </c>
      <c r="N46" s="49"/>
      <c r="O46" s="39" t="s">
        <v>107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B47" s="49"/>
      <c r="C47" s="46" t="s">
        <v>90</v>
      </c>
      <c r="E47" s="46" t="s">
        <v>90</v>
      </c>
      <c r="F47" s="49"/>
      <c r="G47" s="46"/>
      <c r="H47" s="49"/>
      <c r="I47" s="54"/>
      <c r="J47" s="49"/>
      <c r="K47" s="54" t="s">
        <v>123</v>
      </c>
      <c r="M47" s="46" t="s">
        <v>309</v>
      </c>
      <c r="N47" s="49"/>
      <c r="O47" s="54" t="s">
        <v>123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B48" s="49"/>
      <c r="C48" s="39" t="s">
        <v>304</v>
      </c>
      <c r="E48" s="39" t="s">
        <v>311</v>
      </c>
      <c r="F48" s="49"/>
      <c r="G48" s="39"/>
      <c r="H48" s="49"/>
      <c r="I48" s="39"/>
      <c r="J48" s="49"/>
      <c r="K48" s="39" t="s">
        <v>312</v>
      </c>
      <c r="M48" s="39" t="s">
        <v>313</v>
      </c>
      <c r="N48" s="49"/>
      <c r="O48" s="39" t="s">
        <v>307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9"/>
      <c r="C49" s="46" t="s">
        <v>123</v>
      </c>
      <c r="E49" s="46" t="s">
        <v>123</v>
      </c>
      <c r="F49" s="49"/>
      <c r="G49" s="39"/>
      <c r="H49" s="49"/>
      <c r="I49" s="54"/>
      <c r="J49" s="49"/>
      <c r="K49" s="39"/>
      <c r="N49" s="49"/>
      <c r="O49" s="54" t="s">
        <v>165</v>
      </c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49"/>
      <c r="C50" s="39" t="s">
        <v>308</v>
      </c>
      <c r="E50" s="39" t="s">
        <v>314</v>
      </c>
      <c r="F50" s="49"/>
      <c r="G50" s="39"/>
      <c r="H50" s="49"/>
      <c r="I50" s="39"/>
      <c r="J50" s="49"/>
      <c r="K50" s="39"/>
      <c r="N50" s="49"/>
      <c r="O50" s="39" t="s">
        <v>238</v>
      </c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C52" s="39"/>
      <c r="D52" s="39"/>
      <c r="E52" s="39"/>
      <c r="F52" s="39"/>
      <c r="G52" s="39"/>
      <c r="H52" s="39"/>
      <c r="I52" s="39"/>
      <c r="J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13.0"/>
    <col customWidth="1" min="7" max="7" width="14.25"/>
    <col customWidth="1" min="11" max="11" width="15.13"/>
    <col customWidth="1" min="13" max="13" width="16.13"/>
    <col customWidth="1" min="15" max="15" width="13.0"/>
  </cols>
  <sheetData>
    <row r="1">
      <c r="A1" s="34" t="s">
        <v>320</v>
      </c>
      <c r="B1" s="62"/>
      <c r="C1" s="39"/>
      <c r="D1" s="38"/>
      <c r="E1" s="39"/>
      <c r="F1" s="38"/>
      <c r="G1" s="38"/>
      <c r="H1" s="39"/>
      <c r="I1" s="38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B2" s="39"/>
      <c r="D2" s="39"/>
      <c r="E2" s="38"/>
      <c r="F2" s="39"/>
      <c r="G2" s="38"/>
      <c r="H2" s="39"/>
      <c r="J2" s="39"/>
      <c r="L2" s="39"/>
      <c r="M2" s="38"/>
      <c r="N2" s="39"/>
      <c r="O2" s="38"/>
      <c r="P2" s="39"/>
      <c r="Q2" s="42"/>
      <c r="R2" s="39"/>
      <c r="S2" s="39"/>
      <c r="T2" s="39"/>
      <c r="U2" s="39"/>
      <c r="V2" s="39"/>
      <c r="W2" s="39"/>
      <c r="X2" s="39"/>
      <c r="Y2" s="39"/>
      <c r="Z2" s="39"/>
    </row>
    <row r="3">
      <c r="A3" s="38" t="s">
        <v>297</v>
      </c>
      <c r="B3" s="39"/>
      <c r="C3" s="38" t="s">
        <v>270</v>
      </c>
      <c r="D3" s="39"/>
      <c r="E3" s="38" t="s">
        <v>274</v>
      </c>
      <c r="F3" s="39"/>
      <c r="G3" s="38" t="s">
        <v>271</v>
      </c>
      <c r="H3" s="39"/>
      <c r="I3" s="38" t="s">
        <v>269</v>
      </c>
      <c r="J3" s="39"/>
      <c r="K3" s="38" t="s">
        <v>272</v>
      </c>
      <c r="L3" s="39"/>
      <c r="M3" s="38" t="s">
        <v>273</v>
      </c>
      <c r="N3" s="39"/>
      <c r="O3" s="38" t="s">
        <v>268</v>
      </c>
      <c r="P3" s="39"/>
      <c r="Q3" s="42"/>
      <c r="R3" s="39"/>
      <c r="S3" s="39"/>
      <c r="T3" s="39"/>
      <c r="U3" s="39"/>
      <c r="V3" s="39"/>
      <c r="W3" s="39"/>
      <c r="X3" s="39"/>
      <c r="Y3" s="39"/>
      <c r="Z3" s="39"/>
    </row>
    <row r="4">
      <c r="A4" s="42" t="s">
        <v>15</v>
      </c>
      <c r="B4" s="39"/>
      <c r="C4" s="42" t="s">
        <v>18</v>
      </c>
      <c r="D4" s="39"/>
      <c r="E4" s="42" t="s">
        <v>16</v>
      </c>
      <c r="F4" s="39"/>
      <c r="G4" s="43" t="s">
        <v>17</v>
      </c>
      <c r="H4" s="39"/>
      <c r="I4" s="42" t="s">
        <v>22</v>
      </c>
      <c r="J4" s="39"/>
      <c r="K4" s="42" t="s">
        <v>21</v>
      </c>
      <c r="L4" s="39"/>
      <c r="M4" s="42" t="s">
        <v>20</v>
      </c>
      <c r="N4" s="39"/>
      <c r="O4" s="42" t="s">
        <v>19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23</v>
      </c>
      <c r="B5" s="39"/>
      <c r="C5" s="40" t="s">
        <v>26</v>
      </c>
      <c r="D5" s="39"/>
      <c r="E5" s="40" t="s">
        <v>24</v>
      </c>
      <c r="F5" s="39"/>
      <c r="G5" s="40" t="s">
        <v>25</v>
      </c>
      <c r="H5" s="39"/>
      <c r="I5" s="40" t="s">
        <v>30</v>
      </c>
      <c r="J5" s="39"/>
      <c r="K5" s="40" t="s">
        <v>29</v>
      </c>
      <c r="L5" s="39"/>
      <c r="M5" s="40" t="s">
        <v>28</v>
      </c>
      <c r="N5" s="39"/>
      <c r="O5" s="40" t="s">
        <v>27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4" t="s">
        <v>31</v>
      </c>
      <c r="C6" s="39"/>
      <c r="D6" s="44" t="s">
        <v>31</v>
      </c>
      <c r="E6" s="39"/>
      <c r="F6" s="44" t="s">
        <v>31</v>
      </c>
      <c r="G6" s="39"/>
      <c r="H6" s="44" t="s">
        <v>31</v>
      </c>
      <c r="I6" s="39"/>
      <c r="J6" s="44" t="s">
        <v>31</v>
      </c>
      <c r="K6" s="39"/>
      <c r="L6" s="44" t="s">
        <v>31</v>
      </c>
      <c r="M6" s="39"/>
      <c r="N6" s="44" t="s">
        <v>31</v>
      </c>
      <c r="O6" s="42"/>
      <c r="P6" s="44" t="s">
        <v>31</v>
      </c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5" t="s">
        <v>32</v>
      </c>
      <c r="B7" s="45"/>
      <c r="C7" s="45" t="s">
        <v>32</v>
      </c>
      <c r="D7" s="45"/>
      <c r="E7" s="45" t="s">
        <v>32</v>
      </c>
      <c r="F7" s="46"/>
      <c r="G7" s="45" t="s">
        <v>32</v>
      </c>
      <c r="H7" s="46"/>
      <c r="I7" s="45" t="s">
        <v>32</v>
      </c>
      <c r="J7" s="46"/>
      <c r="K7" s="45" t="s">
        <v>32</v>
      </c>
      <c r="L7" s="46"/>
      <c r="M7" s="45" t="s">
        <v>32</v>
      </c>
      <c r="N7" s="46"/>
      <c r="O7" s="45" t="s">
        <v>32</v>
      </c>
      <c r="P7" s="46"/>
      <c r="Q7" s="45"/>
      <c r="R7" s="46"/>
      <c r="S7" s="46"/>
      <c r="T7" s="46"/>
      <c r="U7" s="46"/>
      <c r="V7" s="46"/>
      <c r="W7" s="46"/>
      <c r="X7" s="46"/>
      <c r="Y7" s="46"/>
      <c r="Z7" s="46"/>
    </row>
    <row r="8">
      <c r="A8" s="40" t="s">
        <v>33</v>
      </c>
      <c r="B8" s="40"/>
      <c r="C8" s="48" t="s">
        <v>36</v>
      </c>
      <c r="D8" s="40">
        <v>24.0</v>
      </c>
      <c r="E8" s="48" t="s">
        <v>38</v>
      </c>
      <c r="F8" s="40">
        <v>41.0</v>
      </c>
      <c r="G8" s="48" t="s">
        <v>35</v>
      </c>
      <c r="H8" s="40">
        <v>29.0</v>
      </c>
      <c r="I8" s="48" t="s">
        <v>223</v>
      </c>
      <c r="J8" s="40">
        <v>12.0</v>
      </c>
      <c r="K8" s="48" t="s">
        <v>39</v>
      </c>
      <c r="L8" s="40">
        <v>41.0</v>
      </c>
      <c r="M8" s="48" t="s">
        <v>34</v>
      </c>
      <c r="N8" s="40">
        <v>28.0</v>
      </c>
      <c r="O8" s="48" t="s">
        <v>37</v>
      </c>
      <c r="P8" s="40">
        <v>28.0</v>
      </c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8" t="s">
        <v>41</v>
      </c>
      <c r="B9" s="40">
        <v>24.0</v>
      </c>
      <c r="C9" s="39" t="s">
        <v>44</v>
      </c>
      <c r="D9" s="39"/>
      <c r="E9" s="39" t="s">
        <v>321</v>
      </c>
      <c r="F9" s="39"/>
      <c r="G9" s="39" t="s">
        <v>275</v>
      </c>
      <c r="H9" s="40"/>
      <c r="I9" s="39" t="s">
        <v>40</v>
      </c>
      <c r="J9" s="39"/>
      <c r="K9" s="39" t="s">
        <v>47</v>
      </c>
      <c r="L9" s="39"/>
      <c r="M9" s="39" t="s">
        <v>242</v>
      </c>
      <c r="N9" s="39"/>
      <c r="O9" s="39" t="s">
        <v>45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 t="s">
        <v>49</v>
      </c>
      <c r="B10" s="39"/>
      <c r="C10" s="39" t="s">
        <v>52</v>
      </c>
      <c r="D10" s="39"/>
      <c r="E10" s="39" t="s">
        <v>318</v>
      </c>
      <c r="F10" s="39"/>
      <c r="G10" s="39" t="s">
        <v>46</v>
      </c>
      <c r="H10" s="39"/>
      <c r="I10" s="39" t="s">
        <v>56</v>
      </c>
      <c r="J10" s="39"/>
      <c r="K10" s="39" t="s">
        <v>43</v>
      </c>
      <c r="L10" s="40"/>
      <c r="M10" s="39" t="s">
        <v>54</v>
      </c>
      <c r="N10" s="39"/>
      <c r="O10" s="39" t="s">
        <v>276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5" t="s">
        <v>57</v>
      </c>
      <c r="B12" s="46"/>
      <c r="C12" s="45" t="s">
        <v>57</v>
      </c>
      <c r="D12" s="46"/>
      <c r="E12" s="45" t="s">
        <v>57</v>
      </c>
      <c r="F12" s="46"/>
      <c r="G12" s="45" t="s">
        <v>57</v>
      </c>
      <c r="H12" s="46"/>
      <c r="I12" s="45" t="s">
        <v>57</v>
      </c>
      <c r="J12" s="46"/>
      <c r="K12" s="45" t="s">
        <v>57</v>
      </c>
      <c r="L12" s="46"/>
      <c r="M12" s="45" t="s">
        <v>57</v>
      </c>
      <c r="N12" s="46"/>
      <c r="O12" s="50" t="s">
        <v>57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51" t="s">
        <v>66</v>
      </c>
      <c r="B13" s="40">
        <v>10.0</v>
      </c>
      <c r="C13" s="48" t="s">
        <v>58</v>
      </c>
      <c r="D13" s="40">
        <v>26.0</v>
      </c>
      <c r="E13" s="48" t="s">
        <v>59</v>
      </c>
      <c r="F13" s="40">
        <v>4.0</v>
      </c>
      <c r="G13" s="39" t="s">
        <v>60</v>
      </c>
      <c r="H13" s="40"/>
      <c r="I13" s="39" t="s">
        <v>65</v>
      </c>
      <c r="J13" s="40"/>
      <c r="K13" s="39" t="s">
        <v>64</v>
      </c>
      <c r="L13" s="40"/>
      <c r="M13" s="48" t="s">
        <v>81</v>
      </c>
      <c r="N13" s="40">
        <v>8.0</v>
      </c>
      <c r="O13" s="48" t="s">
        <v>62</v>
      </c>
      <c r="P13" s="40">
        <v>6.0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8" t="s">
        <v>74</v>
      </c>
      <c r="B14" s="40">
        <v>36.0</v>
      </c>
      <c r="C14" s="48" t="s">
        <v>69</v>
      </c>
      <c r="D14" s="40">
        <v>1.0</v>
      </c>
      <c r="E14" s="39" t="s">
        <v>75</v>
      </c>
      <c r="F14" s="40"/>
      <c r="G14" s="48" t="s">
        <v>83</v>
      </c>
      <c r="H14" s="40">
        <v>3.0</v>
      </c>
      <c r="I14" s="48" t="s">
        <v>73</v>
      </c>
      <c r="J14" s="40">
        <v>7.0</v>
      </c>
      <c r="K14" s="48" t="s">
        <v>68</v>
      </c>
      <c r="L14" s="40">
        <v>17.0</v>
      </c>
      <c r="M14" s="39" t="s">
        <v>89</v>
      </c>
      <c r="N14" s="40"/>
      <c r="O14" s="48" t="s">
        <v>70</v>
      </c>
      <c r="P14" s="40">
        <v>17.0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 t="s">
        <v>61</v>
      </c>
      <c r="B15" s="39"/>
      <c r="C15" s="39" t="s">
        <v>77</v>
      </c>
      <c r="D15" s="39"/>
      <c r="E15" s="39" t="s">
        <v>79</v>
      </c>
      <c r="F15" s="39"/>
      <c r="G15" s="39" t="s">
        <v>76</v>
      </c>
      <c r="H15" s="39"/>
      <c r="I15" s="39" t="s">
        <v>243</v>
      </c>
      <c r="J15" s="39"/>
      <c r="K15" s="48" t="s">
        <v>80</v>
      </c>
      <c r="L15" s="40">
        <v>9.0</v>
      </c>
      <c r="M15" s="39" t="s">
        <v>71</v>
      </c>
      <c r="N15" s="40"/>
      <c r="O15" s="39" t="s">
        <v>78</v>
      </c>
      <c r="P15" s="40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 t="s">
        <v>82</v>
      </c>
      <c r="B16" s="39"/>
      <c r="C16" s="42" t="s">
        <v>263</v>
      </c>
      <c r="D16" s="40"/>
      <c r="E16" s="51" t="s">
        <v>298</v>
      </c>
      <c r="F16" s="40">
        <v>0.0</v>
      </c>
      <c r="G16" s="47" t="s">
        <v>319</v>
      </c>
      <c r="H16" s="40">
        <v>0.0</v>
      </c>
      <c r="I16" s="48" t="s">
        <v>63</v>
      </c>
      <c r="J16" s="40">
        <v>19.0</v>
      </c>
      <c r="K16" s="39" t="s">
        <v>72</v>
      </c>
      <c r="L16" s="40"/>
      <c r="M16" s="48" t="s">
        <v>228</v>
      </c>
      <c r="N16" s="40">
        <v>13.0</v>
      </c>
      <c r="O16" s="39" t="s">
        <v>86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5" t="s">
        <v>90</v>
      </c>
      <c r="B18" s="46"/>
      <c r="C18" s="45" t="s">
        <v>90</v>
      </c>
      <c r="D18" s="46"/>
      <c r="E18" s="45" t="s">
        <v>90</v>
      </c>
      <c r="F18" s="46"/>
      <c r="G18" s="45" t="s">
        <v>90</v>
      </c>
      <c r="H18" s="46"/>
      <c r="I18" s="45" t="s">
        <v>90</v>
      </c>
      <c r="J18" s="46"/>
      <c r="K18" s="45" t="s">
        <v>90</v>
      </c>
      <c r="L18" s="46"/>
      <c r="M18" s="45" t="s">
        <v>90</v>
      </c>
      <c r="N18" s="46"/>
      <c r="O18" s="50" t="s">
        <v>90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8" t="s">
        <v>91</v>
      </c>
      <c r="B19" s="40">
        <v>12.0</v>
      </c>
      <c r="C19" s="48" t="s">
        <v>94</v>
      </c>
      <c r="D19" s="40">
        <v>0.0</v>
      </c>
      <c r="E19" s="39" t="s">
        <v>92</v>
      </c>
      <c r="F19" s="40"/>
      <c r="G19" s="39" t="s">
        <v>100</v>
      </c>
      <c r="H19" s="40"/>
      <c r="I19" s="48" t="s">
        <v>99</v>
      </c>
      <c r="J19" s="40">
        <v>4.0</v>
      </c>
      <c r="K19" s="48" t="s">
        <v>97</v>
      </c>
      <c r="L19" s="40">
        <v>18.0</v>
      </c>
      <c r="M19" s="39" t="s">
        <v>96</v>
      </c>
      <c r="N19" s="40"/>
      <c r="O19" s="48" t="s">
        <v>95</v>
      </c>
      <c r="P19" s="40">
        <v>12.0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8" t="s">
        <v>98</v>
      </c>
      <c r="B20" s="40">
        <v>19.0</v>
      </c>
      <c r="C20" s="48" t="s">
        <v>102</v>
      </c>
      <c r="D20" s="40">
        <v>17.0</v>
      </c>
      <c r="E20" s="48" t="s">
        <v>108</v>
      </c>
      <c r="F20" s="40">
        <v>11.0</v>
      </c>
      <c r="G20" s="51" t="s">
        <v>112</v>
      </c>
      <c r="H20" s="40">
        <v>3.0</v>
      </c>
      <c r="I20" s="47" t="s">
        <v>114</v>
      </c>
      <c r="J20" s="40">
        <v>4.0</v>
      </c>
      <c r="K20" s="39" t="s">
        <v>113</v>
      </c>
      <c r="L20" s="40"/>
      <c r="M20" s="47" t="s">
        <v>93</v>
      </c>
      <c r="N20" s="40">
        <v>10.0</v>
      </c>
      <c r="O20" s="39" t="s">
        <v>111</v>
      </c>
      <c r="P20" s="40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 t="s">
        <v>264</v>
      </c>
      <c r="B21" s="39"/>
      <c r="C21" s="39" t="s">
        <v>110</v>
      </c>
      <c r="D21" s="39"/>
      <c r="E21" s="39" t="s">
        <v>279</v>
      </c>
      <c r="F21" s="39"/>
      <c r="G21" s="48" t="s">
        <v>117</v>
      </c>
      <c r="H21" s="40">
        <v>3.0</v>
      </c>
      <c r="I21" s="39" t="s">
        <v>122</v>
      </c>
      <c r="J21" s="40"/>
      <c r="K21" s="39" t="s">
        <v>121</v>
      </c>
      <c r="L21" s="40"/>
      <c r="M21" s="48" t="s">
        <v>120</v>
      </c>
      <c r="N21" s="40">
        <v>12.0</v>
      </c>
      <c r="O21" s="48" t="s">
        <v>103</v>
      </c>
      <c r="P21" s="40">
        <v>11.0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 t="s">
        <v>115</v>
      </c>
      <c r="B22" s="39"/>
      <c r="C22" s="39" t="s">
        <v>118</v>
      </c>
      <c r="D22" s="39"/>
      <c r="E22" s="48" t="s">
        <v>281</v>
      </c>
      <c r="F22" s="40">
        <v>10.0</v>
      </c>
      <c r="G22" s="39" t="s">
        <v>278</v>
      </c>
      <c r="H22" s="39"/>
      <c r="I22" s="39" t="s">
        <v>106</v>
      </c>
      <c r="J22" s="39"/>
      <c r="K22" s="51" t="s">
        <v>105</v>
      </c>
      <c r="L22" s="40">
        <v>6.0</v>
      </c>
      <c r="M22" s="39" t="s">
        <v>299</v>
      </c>
      <c r="N22" s="40"/>
      <c r="O22" s="40" t="s">
        <v>280</v>
      </c>
      <c r="P22" s="40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5" t="s">
        <v>123</v>
      </c>
      <c r="B24" s="46"/>
      <c r="C24" s="45" t="s">
        <v>123</v>
      </c>
      <c r="D24" s="46"/>
      <c r="E24" s="45" t="s">
        <v>123</v>
      </c>
      <c r="F24" s="46"/>
      <c r="G24" s="45" t="s">
        <v>123</v>
      </c>
      <c r="H24" s="46"/>
      <c r="I24" s="45" t="s">
        <v>123</v>
      </c>
      <c r="J24" s="46"/>
      <c r="K24" s="45" t="s">
        <v>123</v>
      </c>
      <c r="L24" s="46"/>
      <c r="M24" s="45" t="s">
        <v>123</v>
      </c>
      <c r="N24" s="46"/>
      <c r="O24" s="50" t="s">
        <v>123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8" t="s">
        <v>124</v>
      </c>
      <c r="B25" s="40">
        <v>17.0</v>
      </c>
      <c r="C25" s="48" t="s">
        <v>127</v>
      </c>
      <c r="D25" s="40">
        <v>2.0</v>
      </c>
      <c r="E25" s="48" t="s">
        <v>125</v>
      </c>
      <c r="F25" s="40">
        <v>24.0</v>
      </c>
      <c r="G25" s="48" t="s">
        <v>126</v>
      </c>
      <c r="H25" s="40">
        <v>7.0</v>
      </c>
      <c r="I25" s="48" t="s">
        <v>131</v>
      </c>
      <c r="J25" s="40">
        <v>6.0</v>
      </c>
      <c r="K25" s="48" t="s">
        <v>138</v>
      </c>
      <c r="L25" s="40">
        <v>2.0</v>
      </c>
      <c r="M25" s="48" t="s">
        <v>129</v>
      </c>
      <c r="N25" s="40">
        <v>3.0</v>
      </c>
      <c r="O25" s="39" t="s">
        <v>128</v>
      </c>
      <c r="P25" s="40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 t="s">
        <v>140</v>
      </c>
      <c r="B26" s="39"/>
      <c r="C26" s="39" t="s">
        <v>135</v>
      </c>
      <c r="D26" s="39"/>
      <c r="E26" s="39" t="s">
        <v>133</v>
      </c>
      <c r="F26" s="39"/>
      <c r="G26" s="39" t="s">
        <v>146</v>
      </c>
      <c r="H26" s="39"/>
      <c r="I26" s="39" t="s">
        <v>139</v>
      </c>
      <c r="J26" s="39"/>
      <c r="K26" s="39" t="s">
        <v>137</v>
      </c>
      <c r="L26" s="40"/>
      <c r="M26" s="39" t="s">
        <v>145</v>
      </c>
      <c r="N26" s="39"/>
      <c r="O26" s="48" t="s">
        <v>136</v>
      </c>
      <c r="P26" s="40">
        <v>2.0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2" t="s">
        <v>132</v>
      </c>
      <c r="B27" s="39"/>
      <c r="C27" s="42" t="s">
        <v>283</v>
      </c>
      <c r="D27" s="39"/>
      <c r="E27" s="42" t="s">
        <v>141</v>
      </c>
      <c r="F27" s="39"/>
      <c r="G27" s="39" t="s">
        <v>244</v>
      </c>
      <c r="H27" s="39"/>
      <c r="I27" s="39" t="s">
        <v>282</v>
      </c>
      <c r="J27" s="39"/>
      <c r="K27" s="39" t="s">
        <v>130</v>
      </c>
      <c r="L27" s="40"/>
      <c r="M27" s="39" t="s">
        <v>285</v>
      </c>
      <c r="N27" s="40"/>
      <c r="O27" s="39" t="s">
        <v>144</v>
      </c>
      <c r="P27" s="40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5" t="s">
        <v>148</v>
      </c>
      <c r="B29" s="46"/>
      <c r="C29" s="45" t="s">
        <v>148</v>
      </c>
      <c r="D29" s="46"/>
      <c r="E29" s="45" t="s">
        <v>148</v>
      </c>
      <c r="F29" s="46"/>
      <c r="G29" s="45" t="s">
        <v>148</v>
      </c>
      <c r="H29" s="46"/>
      <c r="I29" s="45" t="s">
        <v>148</v>
      </c>
      <c r="J29" s="46"/>
      <c r="K29" s="45" t="s">
        <v>148</v>
      </c>
      <c r="L29" s="46"/>
      <c r="M29" s="45" t="s">
        <v>148</v>
      </c>
      <c r="N29" s="46"/>
      <c r="O29" s="50" t="s">
        <v>148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8" t="s">
        <v>149</v>
      </c>
      <c r="B30" s="40">
        <v>5.0</v>
      </c>
      <c r="C30" s="39" t="s">
        <v>152</v>
      </c>
      <c r="D30" s="40"/>
      <c r="E30" s="48" t="s">
        <v>150</v>
      </c>
      <c r="F30" s="40">
        <v>15.0</v>
      </c>
      <c r="G30" s="48" t="s">
        <v>151</v>
      </c>
      <c r="H30" s="40">
        <v>7.0</v>
      </c>
      <c r="I30" s="48" t="s">
        <v>156</v>
      </c>
      <c r="J30" s="40">
        <v>3.0</v>
      </c>
      <c r="K30" s="39" t="s">
        <v>155</v>
      </c>
      <c r="L30" s="40"/>
      <c r="M30" s="48" t="s">
        <v>154</v>
      </c>
      <c r="N30" s="40">
        <v>2.0</v>
      </c>
      <c r="O30" s="48" t="s">
        <v>153</v>
      </c>
      <c r="P30" s="40">
        <v>4.0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 t="s">
        <v>164</v>
      </c>
      <c r="B31" s="40"/>
      <c r="C31" s="48" t="s">
        <v>160</v>
      </c>
      <c r="D31" s="40">
        <v>0.0</v>
      </c>
      <c r="E31" s="39" t="s">
        <v>158</v>
      </c>
      <c r="F31" s="39"/>
      <c r="G31" s="39" t="s">
        <v>286</v>
      </c>
      <c r="H31" s="39"/>
      <c r="I31" s="42" t="s">
        <v>159</v>
      </c>
      <c r="J31" s="39"/>
      <c r="K31" s="48" t="s">
        <v>163</v>
      </c>
      <c r="L31" s="40">
        <v>4.0</v>
      </c>
      <c r="M31" s="39" t="s">
        <v>162</v>
      </c>
      <c r="N31" s="39"/>
      <c r="O31" s="39" t="s">
        <v>161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5" t="s">
        <v>165</v>
      </c>
      <c r="B33" s="46"/>
      <c r="C33" s="45" t="s">
        <v>165</v>
      </c>
      <c r="D33" s="46"/>
      <c r="E33" s="45" t="s">
        <v>165</v>
      </c>
      <c r="F33" s="46"/>
      <c r="G33" s="45" t="s">
        <v>165</v>
      </c>
      <c r="H33" s="46"/>
      <c r="I33" s="45" t="s">
        <v>165</v>
      </c>
      <c r="J33" s="46"/>
      <c r="K33" s="45" t="s">
        <v>165</v>
      </c>
      <c r="L33" s="46"/>
      <c r="M33" s="45" t="s">
        <v>165</v>
      </c>
      <c r="N33" s="46"/>
      <c r="O33" s="50" t="s">
        <v>165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39" t="s">
        <v>166</v>
      </c>
      <c r="B34" s="40"/>
      <c r="C34" s="48" t="s">
        <v>169</v>
      </c>
      <c r="D34" s="40">
        <v>7.0</v>
      </c>
      <c r="E34" s="48" t="s">
        <v>167</v>
      </c>
      <c r="F34" s="40">
        <v>1.0</v>
      </c>
      <c r="G34" s="39" t="s">
        <v>179</v>
      </c>
      <c r="H34" s="40"/>
      <c r="I34" s="39" t="s">
        <v>173</v>
      </c>
      <c r="J34" s="40"/>
      <c r="K34" s="39" t="s">
        <v>255</v>
      </c>
      <c r="L34" s="40"/>
      <c r="M34" s="48" t="s">
        <v>174</v>
      </c>
      <c r="N34" s="40">
        <v>3.0</v>
      </c>
      <c r="O34" s="48" t="s">
        <v>170</v>
      </c>
      <c r="P34" s="40">
        <v>6.0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8" t="s">
        <v>180</v>
      </c>
      <c r="B35" s="40">
        <v>5.0</v>
      </c>
      <c r="C35" s="39" t="s">
        <v>177</v>
      </c>
      <c r="D35" s="40"/>
      <c r="E35" s="39" t="s">
        <v>288</v>
      </c>
      <c r="F35" s="39"/>
      <c r="G35" s="48" t="s">
        <v>287</v>
      </c>
      <c r="H35" s="40">
        <v>5.0</v>
      </c>
      <c r="I35" s="48" t="s">
        <v>181</v>
      </c>
      <c r="J35" s="40">
        <v>4.0</v>
      </c>
      <c r="K35" s="48" t="s">
        <v>172</v>
      </c>
      <c r="L35" s="40">
        <v>18.0</v>
      </c>
      <c r="M35" s="39" t="s">
        <v>168</v>
      </c>
      <c r="N35" s="40"/>
      <c r="O35" s="39" t="s">
        <v>176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5" t="s">
        <v>289</v>
      </c>
      <c r="B37" s="46"/>
      <c r="C37" s="45" t="s">
        <v>289</v>
      </c>
      <c r="D37" s="46"/>
      <c r="E37" s="45" t="s">
        <v>289</v>
      </c>
      <c r="F37" s="46"/>
      <c r="G37" s="45" t="s">
        <v>289</v>
      </c>
      <c r="H37" s="46"/>
      <c r="I37" s="45" t="s">
        <v>289</v>
      </c>
      <c r="J37" s="46"/>
      <c r="K37" s="45" t="s">
        <v>289</v>
      </c>
      <c r="L37" s="46"/>
      <c r="M37" s="45" t="s">
        <v>289</v>
      </c>
      <c r="N37" s="46"/>
      <c r="O37" s="50" t="s">
        <v>289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39" t="s">
        <v>183</v>
      </c>
      <c r="B38" s="40"/>
      <c r="C38" s="48" t="s">
        <v>186</v>
      </c>
      <c r="D38" s="40">
        <v>2.0</v>
      </c>
      <c r="E38" s="48" t="s">
        <v>184</v>
      </c>
      <c r="F38" s="40">
        <v>-1.0</v>
      </c>
      <c r="G38" s="48" t="s">
        <v>185</v>
      </c>
      <c r="H38" s="40">
        <v>4.0</v>
      </c>
      <c r="I38" s="48" t="s">
        <v>190</v>
      </c>
      <c r="J38" s="40">
        <v>4.0</v>
      </c>
      <c r="K38" s="39" t="s">
        <v>189</v>
      </c>
      <c r="L38" s="40"/>
      <c r="M38" s="39" t="s">
        <v>188</v>
      </c>
      <c r="N38" s="40"/>
      <c r="O38" s="48" t="s">
        <v>187</v>
      </c>
      <c r="P38" s="40">
        <v>5.0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8" t="s">
        <v>191</v>
      </c>
      <c r="B39" s="40">
        <v>3.0</v>
      </c>
      <c r="C39" s="39" t="s">
        <v>194</v>
      </c>
      <c r="D39" s="40"/>
      <c r="E39" s="39" t="s">
        <v>192</v>
      </c>
      <c r="F39" s="39"/>
      <c r="G39" s="39" t="s">
        <v>193</v>
      </c>
      <c r="H39" s="39"/>
      <c r="I39" s="39" t="s">
        <v>198</v>
      </c>
      <c r="J39" s="40"/>
      <c r="K39" s="48" t="s">
        <v>197</v>
      </c>
      <c r="L39" s="40">
        <v>-2.0</v>
      </c>
      <c r="M39" s="48" t="s">
        <v>196</v>
      </c>
      <c r="N39" s="40">
        <v>2.0</v>
      </c>
      <c r="O39" s="39" t="s">
        <v>195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48"/>
      <c r="B41" s="39">
        <f>SUM(B8:B39)</f>
        <v>131</v>
      </c>
      <c r="C41" s="48"/>
      <c r="D41" s="39">
        <f>SUM(D8:D39)</f>
        <v>79</v>
      </c>
      <c r="F41" s="39">
        <f>SUM(F8:F39)</f>
        <v>105</v>
      </c>
      <c r="H41" s="39">
        <f>SUM(H8:H39)</f>
        <v>61</v>
      </c>
      <c r="J41" s="39">
        <f>SUM(J8:J39)</f>
        <v>63</v>
      </c>
      <c r="L41" s="39">
        <f>SUM(L8:L39)</f>
        <v>113</v>
      </c>
      <c r="N41" s="39">
        <f>SUM(N8:N39)</f>
        <v>81</v>
      </c>
      <c r="P41" s="39">
        <f>SUM(P8:P39)</f>
        <v>91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8" t="s">
        <v>221</v>
      </c>
      <c r="B42" s="49"/>
      <c r="C42" s="48" t="s">
        <v>221</v>
      </c>
      <c r="D42" s="49"/>
      <c r="E42" s="48" t="s">
        <v>221</v>
      </c>
      <c r="F42" s="49"/>
      <c r="G42" s="48" t="s">
        <v>221</v>
      </c>
      <c r="H42" s="49"/>
      <c r="I42" s="48" t="s">
        <v>221</v>
      </c>
      <c r="J42" s="49"/>
      <c r="K42" s="48" t="s">
        <v>221</v>
      </c>
      <c r="L42" s="49"/>
      <c r="M42" s="48" t="s">
        <v>221</v>
      </c>
      <c r="N42" s="49"/>
      <c r="O42" s="48" t="s">
        <v>221</v>
      </c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6" t="s">
        <v>123</v>
      </c>
      <c r="B43" s="49"/>
      <c r="C43" s="54" t="s">
        <v>57</v>
      </c>
      <c r="E43" s="46" t="s">
        <v>32</v>
      </c>
      <c r="F43" s="49"/>
      <c r="G43" s="54" t="s">
        <v>32</v>
      </c>
      <c r="H43" s="49"/>
      <c r="I43" s="46" t="s">
        <v>32</v>
      </c>
      <c r="J43" s="49"/>
      <c r="K43" s="46" t="s">
        <v>32</v>
      </c>
      <c r="M43" s="46" t="s">
        <v>57</v>
      </c>
      <c r="N43" s="49"/>
      <c r="O43" s="54" t="s">
        <v>32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 t="s">
        <v>239</v>
      </c>
      <c r="B44" s="49"/>
      <c r="C44" s="39" t="s">
        <v>277</v>
      </c>
      <c r="E44" s="39" t="s">
        <v>55</v>
      </c>
      <c r="F44" s="49"/>
      <c r="G44" s="39" t="s">
        <v>51</v>
      </c>
      <c r="H44" s="49"/>
      <c r="I44" s="39" t="s">
        <v>302</v>
      </c>
      <c r="J44" s="49"/>
      <c r="K44" s="39" t="s">
        <v>224</v>
      </c>
      <c r="M44" s="39" t="s">
        <v>303</v>
      </c>
      <c r="N44" s="49"/>
      <c r="O44" s="39" t="s">
        <v>53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 t="s">
        <v>148</v>
      </c>
      <c r="B45" s="49"/>
      <c r="C45" s="54" t="s">
        <v>90</v>
      </c>
      <c r="E45" s="46" t="s">
        <v>57</v>
      </c>
      <c r="F45" s="49"/>
      <c r="G45" s="54" t="s">
        <v>90</v>
      </c>
      <c r="H45" s="49"/>
      <c r="I45" s="46" t="s">
        <v>57</v>
      </c>
      <c r="J45" s="49"/>
      <c r="K45" s="46" t="s">
        <v>57</v>
      </c>
      <c r="M45" s="46" t="s">
        <v>90</v>
      </c>
      <c r="N45" s="49"/>
      <c r="O45" s="54" t="s">
        <v>57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 t="s">
        <v>310</v>
      </c>
      <c r="B46" s="49"/>
      <c r="C46" s="39" t="s">
        <v>107</v>
      </c>
      <c r="E46" s="39" t="s">
        <v>301</v>
      </c>
      <c r="F46" s="49"/>
      <c r="G46" s="39" t="s">
        <v>306</v>
      </c>
      <c r="H46" s="49"/>
      <c r="I46" s="39" t="s">
        <v>87</v>
      </c>
      <c r="J46" s="49"/>
      <c r="K46" s="39" t="s">
        <v>88</v>
      </c>
      <c r="M46" s="39" t="s">
        <v>229</v>
      </c>
      <c r="N46" s="49"/>
      <c r="O46" s="39" t="s">
        <v>305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B47" s="49"/>
      <c r="C47" s="54" t="s">
        <v>123</v>
      </c>
      <c r="E47" s="46" t="s">
        <v>123</v>
      </c>
      <c r="F47" s="49"/>
      <c r="G47" s="54"/>
      <c r="H47" s="49"/>
      <c r="I47" s="46" t="s">
        <v>90</v>
      </c>
      <c r="J47" s="49"/>
      <c r="K47" s="46" t="s">
        <v>90</v>
      </c>
      <c r="M47" s="46" t="s">
        <v>309</v>
      </c>
      <c r="N47" s="49"/>
      <c r="O47" s="54" t="s">
        <v>123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B48" s="49"/>
      <c r="C48" s="39" t="s">
        <v>307</v>
      </c>
      <c r="E48" s="39" t="s">
        <v>235</v>
      </c>
      <c r="F48" s="49"/>
      <c r="G48" s="39"/>
      <c r="H48" s="49"/>
      <c r="I48" s="39" t="s">
        <v>311</v>
      </c>
      <c r="J48" s="49"/>
      <c r="K48" s="39" t="s">
        <v>304</v>
      </c>
      <c r="M48" s="39" t="s">
        <v>313</v>
      </c>
      <c r="N48" s="49"/>
      <c r="O48" s="39" t="s">
        <v>312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9"/>
      <c r="C49" s="54" t="s">
        <v>165</v>
      </c>
      <c r="E49" s="39"/>
      <c r="F49" s="49"/>
      <c r="G49" s="54"/>
      <c r="H49" s="49"/>
      <c r="I49" s="46" t="s">
        <v>123</v>
      </c>
      <c r="J49" s="49"/>
      <c r="K49" s="46" t="s">
        <v>123</v>
      </c>
      <c r="N49" s="4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49"/>
      <c r="C50" s="39" t="s">
        <v>238</v>
      </c>
      <c r="E50" s="39"/>
      <c r="F50" s="49"/>
      <c r="G50" s="39"/>
      <c r="H50" s="49"/>
      <c r="I50" s="39" t="s">
        <v>314</v>
      </c>
      <c r="J50" s="49"/>
      <c r="K50" s="39" t="s">
        <v>308</v>
      </c>
      <c r="N50" s="49"/>
      <c r="O50" s="39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16.13"/>
    <col customWidth="1" min="7" max="7" width="14.25"/>
    <col customWidth="1" min="9" max="9" width="13.0"/>
    <col customWidth="1" min="11" max="11" width="13.0"/>
    <col customWidth="1" min="13" max="13" width="15.13"/>
  </cols>
  <sheetData>
    <row r="1">
      <c r="A1" s="34" t="s">
        <v>322</v>
      </c>
      <c r="B1" s="62"/>
      <c r="C1" s="39"/>
      <c r="D1" s="38"/>
      <c r="E1" s="38"/>
      <c r="F1" s="38"/>
      <c r="G1" s="38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B2" s="39"/>
      <c r="C2" s="38"/>
      <c r="D2" s="39"/>
      <c r="F2" s="39"/>
      <c r="G2" s="38"/>
      <c r="H2" s="39"/>
      <c r="J2" s="39"/>
      <c r="K2" s="38"/>
      <c r="L2" s="39"/>
      <c r="N2" s="39"/>
      <c r="O2" s="38"/>
      <c r="P2" s="39"/>
      <c r="Q2" s="42"/>
      <c r="R2" s="39"/>
      <c r="S2" s="39"/>
      <c r="T2" s="39"/>
      <c r="U2" s="39"/>
      <c r="V2" s="39"/>
      <c r="W2" s="39"/>
      <c r="X2" s="39"/>
      <c r="Y2" s="39"/>
      <c r="Z2" s="39"/>
    </row>
    <row r="3">
      <c r="A3" s="38" t="s">
        <v>323</v>
      </c>
      <c r="B3" s="39"/>
      <c r="C3" s="38" t="s">
        <v>273</v>
      </c>
      <c r="D3" s="39"/>
      <c r="E3" s="38" t="s">
        <v>269</v>
      </c>
      <c r="F3" s="39"/>
      <c r="G3" s="38" t="s">
        <v>271</v>
      </c>
      <c r="H3" s="39"/>
      <c r="I3" s="38" t="s">
        <v>270</v>
      </c>
      <c r="J3" s="39"/>
      <c r="K3" s="38" t="s">
        <v>268</v>
      </c>
      <c r="L3" s="39"/>
      <c r="M3" s="38" t="s">
        <v>272</v>
      </c>
      <c r="N3" s="39"/>
      <c r="O3" s="38" t="s">
        <v>274</v>
      </c>
      <c r="P3" s="39"/>
      <c r="Q3" s="42"/>
      <c r="R3" s="39"/>
      <c r="S3" s="39"/>
      <c r="T3" s="39"/>
      <c r="U3" s="39"/>
      <c r="V3" s="39"/>
      <c r="W3" s="39"/>
      <c r="X3" s="39"/>
      <c r="Y3" s="39"/>
      <c r="Z3" s="39"/>
    </row>
    <row r="4">
      <c r="A4" s="42" t="s">
        <v>15</v>
      </c>
      <c r="B4" s="39"/>
      <c r="C4" s="42" t="s">
        <v>20</v>
      </c>
      <c r="D4" s="39"/>
      <c r="E4" s="42" t="s">
        <v>22</v>
      </c>
      <c r="F4" s="39"/>
      <c r="G4" s="43" t="s">
        <v>17</v>
      </c>
      <c r="H4" s="39"/>
      <c r="I4" s="42" t="s">
        <v>18</v>
      </c>
      <c r="J4" s="39"/>
      <c r="K4" s="42" t="s">
        <v>19</v>
      </c>
      <c r="L4" s="39"/>
      <c r="M4" s="42" t="s">
        <v>21</v>
      </c>
      <c r="N4" s="39"/>
      <c r="O4" s="42" t="s">
        <v>16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23</v>
      </c>
      <c r="B5" s="39"/>
      <c r="C5" s="40" t="s">
        <v>28</v>
      </c>
      <c r="D5" s="39"/>
      <c r="E5" s="40" t="s">
        <v>30</v>
      </c>
      <c r="F5" s="39"/>
      <c r="G5" s="40" t="s">
        <v>25</v>
      </c>
      <c r="H5" s="39"/>
      <c r="I5" s="40" t="s">
        <v>26</v>
      </c>
      <c r="J5" s="39"/>
      <c r="K5" s="40" t="s">
        <v>27</v>
      </c>
      <c r="L5" s="39"/>
      <c r="M5" s="40" t="s">
        <v>29</v>
      </c>
      <c r="N5" s="39"/>
      <c r="O5" s="40" t="s">
        <v>24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4" t="s">
        <v>31</v>
      </c>
      <c r="C6" s="39"/>
      <c r="D6" s="44" t="s">
        <v>31</v>
      </c>
      <c r="E6" s="39"/>
      <c r="F6" s="44" t="s">
        <v>31</v>
      </c>
      <c r="G6" s="39"/>
      <c r="H6" s="44" t="s">
        <v>31</v>
      </c>
      <c r="I6" s="39"/>
      <c r="J6" s="44" t="s">
        <v>31</v>
      </c>
      <c r="K6" s="42"/>
      <c r="L6" s="44" t="s">
        <v>31</v>
      </c>
      <c r="M6" s="39"/>
      <c r="N6" s="44" t="s">
        <v>31</v>
      </c>
      <c r="O6" s="39"/>
      <c r="P6" s="44" t="s">
        <v>31</v>
      </c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5" t="s">
        <v>32</v>
      </c>
      <c r="B7" s="45"/>
      <c r="C7" s="45" t="s">
        <v>32</v>
      </c>
      <c r="D7" s="45"/>
      <c r="E7" s="45" t="s">
        <v>32</v>
      </c>
      <c r="F7" s="46"/>
      <c r="G7" s="45" t="s">
        <v>32</v>
      </c>
      <c r="H7" s="46"/>
      <c r="I7" s="45" t="s">
        <v>32</v>
      </c>
      <c r="J7" s="46"/>
      <c r="K7" s="45" t="s">
        <v>32</v>
      </c>
      <c r="L7" s="46"/>
      <c r="M7" s="45" t="s">
        <v>32</v>
      </c>
      <c r="N7" s="46"/>
      <c r="O7" s="45" t="s">
        <v>32</v>
      </c>
      <c r="P7" s="46"/>
      <c r="Q7" s="45"/>
      <c r="R7" s="46"/>
      <c r="S7" s="46"/>
      <c r="T7" s="46"/>
      <c r="U7" s="46"/>
      <c r="V7" s="46"/>
      <c r="W7" s="46"/>
      <c r="X7" s="46"/>
      <c r="Y7" s="46"/>
      <c r="Z7" s="46"/>
    </row>
    <row r="8">
      <c r="A8" s="40" t="s">
        <v>33</v>
      </c>
      <c r="B8" s="40"/>
      <c r="C8" s="48" t="s">
        <v>34</v>
      </c>
      <c r="D8" s="40">
        <v>25.0</v>
      </c>
      <c r="E8" s="48" t="s">
        <v>223</v>
      </c>
      <c r="F8" s="40">
        <v>13.0</v>
      </c>
      <c r="G8" s="48" t="s">
        <v>35</v>
      </c>
      <c r="H8" s="40">
        <v>38.0</v>
      </c>
      <c r="I8" s="48" t="s">
        <v>36</v>
      </c>
      <c r="J8" s="40">
        <v>20.0</v>
      </c>
      <c r="K8" s="48" t="s">
        <v>37</v>
      </c>
      <c r="L8" s="40">
        <v>15.0</v>
      </c>
      <c r="M8" s="48" t="s">
        <v>39</v>
      </c>
      <c r="N8" s="40">
        <v>29.0</v>
      </c>
      <c r="O8" s="48" t="s">
        <v>38</v>
      </c>
      <c r="P8" s="40">
        <v>32.0</v>
      </c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8" t="s">
        <v>41</v>
      </c>
      <c r="B9" s="40">
        <v>46.0</v>
      </c>
      <c r="C9" s="39" t="s">
        <v>242</v>
      </c>
      <c r="D9" s="39"/>
      <c r="E9" s="39" t="s">
        <v>56</v>
      </c>
      <c r="F9" s="39"/>
      <c r="G9" s="39" t="s">
        <v>46</v>
      </c>
      <c r="H9" s="40"/>
      <c r="I9" s="39" t="s">
        <v>44</v>
      </c>
      <c r="J9" s="39"/>
      <c r="K9" s="39" t="s">
        <v>45</v>
      </c>
      <c r="L9" s="39"/>
      <c r="M9" s="39" t="s">
        <v>43</v>
      </c>
      <c r="N9" s="39"/>
      <c r="O9" s="39" t="s">
        <v>321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 t="s">
        <v>49</v>
      </c>
      <c r="B10" s="39"/>
      <c r="C10" s="39" t="s">
        <v>54</v>
      </c>
      <c r="D10" s="39"/>
      <c r="E10" s="39" t="s">
        <v>40</v>
      </c>
      <c r="F10" s="39"/>
      <c r="G10" s="39" t="s">
        <v>275</v>
      </c>
      <c r="H10" s="39"/>
      <c r="I10" s="39" t="s">
        <v>52</v>
      </c>
      <c r="J10" s="39"/>
      <c r="K10" s="39" t="s">
        <v>276</v>
      </c>
      <c r="L10" s="40"/>
      <c r="M10" s="63" t="s">
        <v>47</v>
      </c>
      <c r="N10" s="39"/>
      <c r="O10" s="39" t="s">
        <v>318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5" t="s">
        <v>57</v>
      </c>
      <c r="B12" s="46"/>
      <c r="C12" s="45" t="s">
        <v>57</v>
      </c>
      <c r="D12" s="46"/>
      <c r="E12" s="45" t="s">
        <v>57</v>
      </c>
      <c r="F12" s="46"/>
      <c r="G12" s="45" t="s">
        <v>57</v>
      </c>
      <c r="H12" s="46"/>
      <c r="I12" s="45" t="s">
        <v>57</v>
      </c>
      <c r="J12" s="46"/>
      <c r="K12" s="45" t="s">
        <v>57</v>
      </c>
      <c r="L12" s="46"/>
      <c r="M12" s="45" t="s">
        <v>57</v>
      </c>
      <c r="N12" s="46"/>
      <c r="O12" s="45" t="s">
        <v>57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7" t="s">
        <v>66</v>
      </c>
      <c r="B13" s="40">
        <v>11.0</v>
      </c>
      <c r="C13" s="64" t="s">
        <v>81</v>
      </c>
      <c r="D13" s="40">
        <v>13.0</v>
      </c>
      <c r="E13" s="39" t="s">
        <v>65</v>
      </c>
      <c r="F13" s="40"/>
      <c r="G13" s="39" t="s">
        <v>60</v>
      </c>
      <c r="H13" s="40"/>
      <c r="I13" s="48" t="s">
        <v>58</v>
      </c>
      <c r="J13" s="40">
        <v>23.0</v>
      </c>
      <c r="K13" s="48" t="s">
        <v>62</v>
      </c>
      <c r="L13" s="40">
        <v>6.0</v>
      </c>
      <c r="M13" s="48" t="s">
        <v>64</v>
      </c>
      <c r="N13" s="40">
        <v>24.0</v>
      </c>
      <c r="O13" s="48" t="s">
        <v>59</v>
      </c>
      <c r="P13" s="40">
        <v>22.0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8" t="s">
        <v>74</v>
      </c>
      <c r="B14" s="40">
        <v>5.0</v>
      </c>
      <c r="C14" s="39" t="s">
        <v>89</v>
      </c>
      <c r="D14" s="40"/>
      <c r="E14" s="48" t="s">
        <v>73</v>
      </c>
      <c r="F14" s="40">
        <v>10.0</v>
      </c>
      <c r="G14" s="48" t="s">
        <v>83</v>
      </c>
      <c r="H14" s="40">
        <v>7.0</v>
      </c>
      <c r="I14" s="48" t="s">
        <v>69</v>
      </c>
      <c r="J14" s="40">
        <v>19.0</v>
      </c>
      <c r="K14" s="48" t="s">
        <v>70</v>
      </c>
      <c r="L14" s="40">
        <v>13.0</v>
      </c>
      <c r="M14" s="48" t="s">
        <v>68</v>
      </c>
      <c r="N14" s="40">
        <v>30.0</v>
      </c>
      <c r="O14" s="48" t="s">
        <v>75</v>
      </c>
      <c r="P14" s="40">
        <v>11.0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 t="s">
        <v>61</v>
      </c>
      <c r="B15" s="39"/>
      <c r="C15" s="39" t="s">
        <v>71</v>
      </c>
      <c r="D15" s="39"/>
      <c r="E15" s="39" t="s">
        <v>243</v>
      </c>
      <c r="F15" s="39"/>
      <c r="G15" s="39" t="s">
        <v>76</v>
      </c>
      <c r="H15" s="39"/>
      <c r="I15" s="39" t="s">
        <v>77</v>
      </c>
      <c r="J15" s="39"/>
      <c r="K15" s="39" t="s">
        <v>78</v>
      </c>
      <c r="L15" s="40"/>
      <c r="M15" s="39" t="s">
        <v>80</v>
      </c>
      <c r="N15" s="40"/>
      <c r="O15" s="39" t="s">
        <v>298</v>
      </c>
      <c r="P15" s="40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 t="s">
        <v>213</v>
      </c>
      <c r="B16" s="39"/>
      <c r="C16" s="47" t="s">
        <v>228</v>
      </c>
      <c r="D16" s="40">
        <v>12.0</v>
      </c>
      <c r="E16" s="48" t="s">
        <v>63</v>
      </c>
      <c r="F16" s="40">
        <v>11.0</v>
      </c>
      <c r="G16" s="48" t="s">
        <v>324</v>
      </c>
      <c r="H16" s="40">
        <v>2.0</v>
      </c>
      <c r="I16" s="39" t="s">
        <v>263</v>
      </c>
      <c r="J16" s="39"/>
      <c r="K16" s="39" t="s">
        <v>86</v>
      </c>
      <c r="L16" s="40"/>
      <c r="M16" s="39" t="s">
        <v>72</v>
      </c>
      <c r="N16" s="39"/>
      <c r="O16" s="39" t="s">
        <v>79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5" t="s">
        <v>90</v>
      </c>
      <c r="B18" s="46"/>
      <c r="C18" s="45" t="s">
        <v>90</v>
      </c>
      <c r="D18" s="46"/>
      <c r="E18" s="45" t="s">
        <v>90</v>
      </c>
      <c r="F18" s="46"/>
      <c r="G18" s="45" t="s">
        <v>90</v>
      </c>
      <c r="H18" s="46"/>
      <c r="I18" s="45" t="s">
        <v>90</v>
      </c>
      <c r="J18" s="46"/>
      <c r="K18" s="45" t="s">
        <v>90</v>
      </c>
      <c r="L18" s="46"/>
      <c r="M18" s="45" t="s">
        <v>90</v>
      </c>
      <c r="N18" s="46"/>
      <c r="O18" s="45" t="s">
        <v>90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8" t="s">
        <v>91</v>
      </c>
      <c r="B19" s="40">
        <v>15.0</v>
      </c>
      <c r="C19" s="48" t="s">
        <v>96</v>
      </c>
      <c r="D19" s="40">
        <v>12.0</v>
      </c>
      <c r="E19" s="48" t="s">
        <v>99</v>
      </c>
      <c r="F19" s="40">
        <v>13.0</v>
      </c>
      <c r="G19" s="48" t="s">
        <v>100</v>
      </c>
      <c r="H19" s="40">
        <v>0.0</v>
      </c>
      <c r="I19" s="39" t="s">
        <v>94</v>
      </c>
      <c r="J19" s="40"/>
      <c r="K19" s="48" t="s">
        <v>95</v>
      </c>
      <c r="L19" s="40">
        <v>11.0</v>
      </c>
      <c r="M19" s="48" t="s">
        <v>97</v>
      </c>
      <c r="N19" s="40">
        <v>12.0</v>
      </c>
      <c r="O19" s="39" t="s">
        <v>92</v>
      </c>
      <c r="P19" s="40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8" t="s">
        <v>98</v>
      </c>
      <c r="B20" s="40">
        <v>8.0</v>
      </c>
      <c r="C20" s="48" t="s">
        <v>325</v>
      </c>
      <c r="D20" s="40">
        <v>15.0</v>
      </c>
      <c r="E20" s="47" t="s">
        <v>326</v>
      </c>
      <c r="F20" s="40">
        <v>6.0</v>
      </c>
      <c r="G20" s="48" t="s">
        <v>112</v>
      </c>
      <c r="H20" s="40">
        <v>28.0</v>
      </c>
      <c r="I20" s="48" t="s">
        <v>102</v>
      </c>
      <c r="J20" s="40">
        <v>8.0</v>
      </c>
      <c r="K20" s="39" t="s">
        <v>327</v>
      </c>
      <c r="L20" s="40"/>
      <c r="M20" s="63" t="s">
        <v>113</v>
      </c>
      <c r="N20" s="39"/>
      <c r="O20" s="48" t="s">
        <v>279</v>
      </c>
      <c r="P20" s="40">
        <v>5.0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 t="s">
        <v>328</v>
      </c>
      <c r="B21" s="39"/>
      <c r="C21" s="39" t="s">
        <v>299</v>
      </c>
      <c r="D21" s="39"/>
      <c r="E21" s="39" t="s">
        <v>122</v>
      </c>
      <c r="F21" s="39"/>
      <c r="G21" s="39" t="s">
        <v>117</v>
      </c>
      <c r="H21" s="39"/>
      <c r="I21" s="48" t="s">
        <v>110</v>
      </c>
      <c r="J21" s="40">
        <v>5.0</v>
      </c>
      <c r="K21" s="39" t="s">
        <v>111</v>
      </c>
      <c r="L21" s="40"/>
      <c r="M21" s="39" t="s">
        <v>121</v>
      </c>
      <c r="N21" s="40"/>
      <c r="O21" s="48" t="s">
        <v>108</v>
      </c>
      <c r="P21" s="40">
        <v>10.0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 t="s">
        <v>329</v>
      </c>
      <c r="B22" s="39"/>
      <c r="C22" s="39" t="s">
        <v>120</v>
      </c>
      <c r="D22" s="39"/>
      <c r="E22" s="39" t="s">
        <v>106</v>
      </c>
      <c r="F22" s="39"/>
      <c r="G22" s="39" t="s">
        <v>330</v>
      </c>
      <c r="H22" s="39"/>
      <c r="I22" s="39" t="s">
        <v>118</v>
      </c>
      <c r="J22" s="39"/>
      <c r="K22" s="48" t="s">
        <v>103</v>
      </c>
      <c r="L22" s="40">
        <v>8.0</v>
      </c>
      <c r="M22" s="48" t="s">
        <v>105</v>
      </c>
      <c r="N22" s="40">
        <v>19.0</v>
      </c>
      <c r="O22" s="40" t="s">
        <v>281</v>
      </c>
      <c r="P22" s="40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5" t="s">
        <v>123</v>
      </c>
      <c r="B24" s="46"/>
      <c r="C24" s="45" t="s">
        <v>123</v>
      </c>
      <c r="D24" s="46"/>
      <c r="E24" s="45" t="s">
        <v>123</v>
      </c>
      <c r="F24" s="46"/>
      <c r="G24" s="45" t="s">
        <v>123</v>
      </c>
      <c r="H24" s="46"/>
      <c r="I24" s="45" t="s">
        <v>123</v>
      </c>
      <c r="J24" s="46"/>
      <c r="K24" s="45" t="s">
        <v>123</v>
      </c>
      <c r="L24" s="46"/>
      <c r="M24" s="45" t="s">
        <v>123</v>
      </c>
      <c r="N24" s="46"/>
      <c r="O24" s="45" t="s">
        <v>123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8" t="s">
        <v>124</v>
      </c>
      <c r="B25" s="40">
        <v>2.0</v>
      </c>
      <c r="C25" s="48" t="s">
        <v>129</v>
      </c>
      <c r="D25" s="40">
        <v>5.0</v>
      </c>
      <c r="E25" s="48" t="s">
        <v>131</v>
      </c>
      <c r="F25" s="40">
        <v>0.0</v>
      </c>
      <c r="G25" s="48" t="s">
        <v>126</v>
      </c>
      <c r="H25" s="40">
        <v>8.0</v>
      </c>
      <c r="I25" s="48" t="s">
        <v>127</v>
      </c>
      <c r="J25" s="40">
        <v>7.0</v>
      </c>
      <c r="K25" s="48" t="s">
        <v>128</v>
      </c>
      <c r="L25" s="40">
        <v>2.0</v>
      </c>
      <c r="M25" s="39" t="s">
        <v>138</v>
      </c>
      <c r="N25" s="40"/>
      <c r="O25" s="39" t="s">
        <v>125</v>
      </c>
      <c r="P25" s="40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 t="s">
        <v>140</v>
      </c>
      <c r="B26" s="39"/>
      <c r="C26" s="39" t="s">
        <v>145</v>
      </c>
      <c r="D26" s="39"/>
      <c r="E26" s="39" t="s">
        <v>139</v>
      </c>
      <c r="F26" s="39"/>
      <c r="G26" s="39" t="s">
        <v>146</v>
      </c>
      <c r="H26" s="39"/>
      <c r="I26" s="39" t="s">
        <v>135</v>
      </c>
      <c r="J26" s="39"/>
      <c r="K26" s="39" t="s">
        <v>136</v>
      </c>
      <c r="L26" s="40"/>
      <c r="M26" s="39" t="s">
        <v>137</v>
      </c>
      <c r="N26" s="39"/>
      <c r="O26" s="39" t="s">
        <v>141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0" t="s">
        <v>132</v>
      </c>
      <c r="B27" s="39"/>
      <c r="C27" s="40" t="s">
        <v>285</v>
      </c>
      <c r="D27" s="39"/>
      <c r="E27" s="39" t="s">
        <v>282</v>
      </c>
      <c r="F27" s="39"/>
      <c r="G27" s="40" t="s">
        <v>244</v>
      </c>
      <c r="H27" s="39"/>
      <c r="I27" s="39" t="s">
        <v>283</v>
      </c>
      <c r="J27" s="39"/>
      <c r="K27" s="39" t="s">
        <v>144</v>
      </c>
      <c r="L27" s="40"/>
      <c r="M27" s="48" t="s">
        <v>130</v>
      </c>
      <c r="N27" s="40">
        <v>7.0</v>
      </c>
      <c r="O27" s="48" t="s">
        <v>133</v>
      </c>
      <c r="P27" s="40">
        <v>11.0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5" t="s">
        <v>148</v>
      </c>
      <c r="B29" s="46"/>
      <c r="C29" s="45" t="s">
        <v>148</v>
      </c>
      <c r="D29" s="46"/>
      <c r="E29" s="45" t="s">
        <v>148</v>
      </c>
      <c r="F29" s="46"/>
      <c r="G29" s="45" t="s">
        <v>148</v>
      </c>
      <c r="H29" s="46"/>
      <c r="I29" s="45" t="s">
        <v>148</v>
      </c>
      <c r="J29" s="46"/>
      <c r="K29" s="45" t="s">
        <v>148</v>
      </c>
      <c r="L29" s="46"/>
      <c r="M29" s="45" t="s">
        <v>148</v>
      </c>
      <c r="N29" s="46"/>
      <c r="O29" s="45" t="s">
        <v>148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39" t="s">
        <v>164</v>
      </c>
      <c r="B30" s="40"/>
      <c r="C30" s="39" t="s">
        <v>154</v>
      </c>
      <c r="D30" s="40"/>
      <c r="E30" s="48" t="s">
        <v>156</v>
      </c>
      <c r="F30" s="40">
        <v>9.0</v>
      </c>
      <c r="G30" s="48" t="s">
        <v>151</v>
      </c>
      <c r="H30" s="40">
        <v>5.0</v>
      </c>
      <c r="I30" s="48" t="s">
        <v>152</v>
      </c>
      <c r="J30" s="40">
        <v>5.0</v>
      </c>
      <c r="K30" s="48" t="s">
        <v>153</v>
      </c>
      <c r="L30" s="40">
        <v>3.0</v>
      </c>
      <c r="M30" s="48" t="s">
        <v>155</v>
      </c>
      <c r="N30" s="40">
        <v>10.0</v>
      </c>
      <c r="O30" s="48" t="s">
        <v>150</v>
      </c>
      <c r="P30" s="40">
        <v>5.0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8" t="s">
        <v>149</v>
      </c>
      <c r="B31" s="40">
        <v>13.0</v>
      </c>
      <c r="C31" s="48" t="s">
        <v>162</v>
      </c>
      <c r="D31" s="40">
        <v>6.0</v>
      </c>
      <c r="E31" s="39" t="s">
        <v>159</v>
      </c>
      <c r="F31" s="39"/>
      <c r="G31" s="39" t="s">
        <v>286</v>
      </c>
      <c r="H31" s="39"/>
      <c r="I31" s="40" t="s">
        <v>160</v>
      </c>
      <c r="J31" s="39"/>
      <c r="K31" s="39" t="s">
        <v>161</v>
      </c>
      <c r="L31" s="39"/>
      <c r="M31" s="39" t="s">
        <v>163</v>
      </c>
      <c r="N31" s="39"/>
      <c r="O31" s="39" t="s">
        <v>158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5" t="s">
        <v>165</v>
      </c>
      <c r="B33" s="46"/>
      <c r="C33" s="45" t="s">
        <v>165</v>
      </c>
      <c r="D33" s="46"/>
      <c r="E33" s="45" t="s">
        <v>165</v>
      </c>
      <c r="F33" s="46"/>
      <c r="G33" s="45" t="s">
        <v>165</v>
      </c>
      <c r="H33" s="46"/>
      <c r="I33" s="45" t="s">
        <v>165</v>
      </c>
      <c r="J33" s="46"/>
      <c r="K33" s="45" t="s">
        <v>165</v>
      </c>
      <c r="L33" s="46"/>
      <c r="M33" s="45" t="s">
        <v>165</v>
      </c>
      <c r="N33" s="46"/>
      <c r="O33" s="45" t="s">
        <v>165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8" t="s">
        <v>166</v>
      </c>
      <c r="B34" s="40">
        <v>7.0</v>
      </c>
      <c r="C34" s="39" t="s">
        <v>174</v>
      </c>
      <c r="D34" s="40"/>
      <c r="E34" s="48" t="s">
        <v>173</v>
      </c>
      <c r="F34" s="40">
        <v>3.0</v>
      </c>
      <c r="G34" s="48" t="s">
        <v>179</v>
      </c>
      <c r="H34" s="40">
        <v>12.0</v>
      </c>
      <c r="I34" s="39" t="s">
        <v>169</v>
      </c>
      <c r="J34" s="40"/>
      <c r="K34" s="48" t="s">
        <v>170</v>
      </c>
      <c r="L34" s="40">
        <v>2.0</v>
      </c>
      <c r="M34" s="48" t="s">
        <v>255</v>
      </c>
      <c r="N34" s="40">
        <v>14.0</v>
      </c>
      <c r="O34" s="48" t="s">
        <v>167</v>
      </c>
      <c r="P34" s="40">
        <v>4.0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 t="s">
        <v>180</v>
      </c>
      <c r="B35" s="39"/>
      <c r="C35" s="48" t="s">
        <v>168</v>
      </c>
      <c r="D35" s="40">
        <v>3.0</v>
      </c>
      <c r="E35" s="39" t="s">
        <v>181</v>
      </c>
      <c r="F35" s="39"/>
      <c r="G35" s="39" t="s">
        <v>287</v>
      </c>
      <c r="H35" s="39"/>
      <c r="I35" s="48" t="s">
        <v>177</v>
      </c>
      <c r="J35" s="40">
        <v>24.0</v>
      </c>
      <c r="K35" s="39" t="s">
        <v>176</v>
      </c>
      <c r="L35" s="40"/>
      <c r="M35" s="39" t="s">
        <v>172</v>
      </c>
      <c r="N35" s="40"/>
      <c r="O35" s="39" t="s">
        <v>288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5" t="s">
        <v>289</v>
      </c>
      <c r="B37" s="46"/>
      <c r="C37" s="45" t="s">
        <v>289</v>
      </c>
      <c r="D37" s="46"/>
      <c r="E37" s="45" t="s">
        <v>289</v>
      </c>
      <c r="F37" s="46"/>
      <c r="G37" s="45" t="s">
        <v>289</v>
      </c>
      <c r="H37" s="46"/>
      <c r="I37" s="45" t="s">
        <v>289</v>
      </c>
      <c r="J37" s="46"/>
      <c r="K37" s="45" t="s">
        <v>289</v>
      </c>
      <c r="L37" s="46"/>
      <c r="M37" s="45" t="s">
        <v>289</v>
      </c>
      <c r="N37" s="46"/>
      <c r="O37" s="45" t="s">
        <v>289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8" t="s">
        <v>183</v>
      </c>
      <c r="B38" s="40">
        <v>5.0</v>
      </c>
      <c r="C38" s="39" t="s">
        <v>188</v>
      </c>
      <c r="D38" s="40"/>
      <c r="E38" s="48" t="s">
        <v>190</v>
      </c>
      <c r="F38" s="40">
        <v>2.0</v>
      </c>
      <c r="G38" s="48" t="s">
        <v>185</v>
      </c>
      <c r="H38" s="40">
        <v>-2.0</v>
      </c>
      <c r="I38" s="48" t="s">
        <v>186</v>
      </c>
      <c r="J38" s="40">
        <v>0.0</v>
      </c>
      <c r="K38" s="48" t="s">
        <v>187</v>
      </c>
      <c r="L38" s="40">
        <v>0.0</v>
      </c>
      <c r="M38" s="39" t="s">
        <v>189</v>
      </c>
      <c r="N38" s="40"/>
      <c r="O38" s="48" t="s">
        <v>184</v>
      </c>
      <c r="P38" s="40">
        <v>4.0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 t="s">
        <v>191</v>
      </c>
      <c r="B39" s="39"/>
      <c r="C39" s="48" t="s">
        <v>196</v>
      </c>
      <c r="D39" s="40">
        <v>3.0</v>
      </c>
      <c r="E39" s="39" t="s">
        <v>198</v>
      </c>
      <c r="F39" s="39"/>
      <c r="G39" s="39" t="s">
        <v>193</v>
      </c>
      <c r="H39" s="39"/>
      <c r="I39" s="39" t="s">
        <v>194</v>
      </c>
      <c r="J39" s="39"/>
      <c r="K39" s="39" t="s">
        <v>195</v>
      </c>
      <c r="L39" s="40"/>
      <c r="M39" s="48" t="s">
        <v>197</v>
      </c>
      <c r="N39" s="40">
        <v>5.0</v>
      </c>
      <c r="O39" s="39" t="s">
        <v>192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>
        <f>SUM(B8:B39)</f>
        <v>112</v>
      </c>
      <c r="C41" s="39"/>
      <c r="D41" s="39">
        <f>SUM(D8:D39)</f>
        <v>94</v>
      </c>
      <c r="E41" s="39"/>
      <c r="F41" s="39">
        <f>SUM(F8:F39)</f>
        <v>67</v>
      </c>
      <c r="G41" s="39"/>
      <c r="H41" s="39">
        <f>SUM(H8:H39)</f>
        <v>98</v>
      </c>
      <c r="I41" s="39"/>
      <c r="J41" s="39">
        <f>SUM(J8:J39)</f>
        <v>111</v>
      </c>
      <c r="K41" s="39"/>
      <c r="L41" s="39">
        <f>SUM(L8:L39)</f>
        <v>60</v>
      </c>
      <c r="M41" s="39"/>
      <c r="N41" s="39">
        <f>SUM(N8:N39)</f>
        <v>150</v>
      </c>
      <c r="O41" s="39"/>
      <c r="P41" s="39">
        <f>SUM(P8:P39)</f>
        <v>104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8" t="s">
        <v>221</v>
      </c>
      <c r="B42" s="49"/>
      <c r="C42" s="48" t="s">
        <v>221</v>
      </c>
      <c r="D42" s="49"/>
      <c r="E42" s="48" t="s">
        <v>221</v>
      </c>
      <c r="F42" s="49"/>
      <c r="G42" s="48" t="s">
        <v>221</v>
      </c>
      <c r="H42" s="49"/>
      <c r="I42" s="48" t="s">
        <v>221</v>
      </c>
      <c r="J42" s="49"/>
      <c r="K42" s="48" t="s">
        <v>221</v>
      </c>
      <c r="L42" s="49"/>
      <c r="M42" s="48" t="s">
        <v>221</v>
      </c>
      <c r="N42" s="49"/>
      <c r="O42" s="48" t="s">
        <v>221</v>
      </c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54" t="s">
        <v>57</v>
      </c>
      <c r="B43" s="49"/>
      <c r="C43" s="54" t="s">
        <v>57</v>
      </c>
      <c r="E43" s="54" t="s">
        <v>32</v>
      </c>
      <c r="F43" s="49"/>
      <c r="G43" s="54" t="s">
        <v>32</v>
      </c>
      <c r="H43" s="49"/>
      <c r="I43" s="54" t="s">
        <v>57</v>
      </c>
      <c r="J43" s="49"/>
      <c r="K43" s="54" t="s">
        <v>32</v>
      </c>
      <c r="M43" s="54" t="s">
        <v>32</v>
      </c>
      <c r="N43" s="49"/>
      <c r="O43" s="54" t="s">
        <v>32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 t="s">
        <v>319</v>
      </c>
      <c r="B44" s="49"/>
      <c r="C44" s="39" t="s">
        <v>303</v>
      </c>
      <c r="E44" s="39" t="s">
        <v>302</v>
      </c>
      <c r="F44" s="49"/>
      <c r="G44" s="39" t="s">
        <v>51</v>
      </c>
      <c r="H44" s="49"/>
      <c r="I44" s="39" t="s">
        <v>277</v>
      </c>
      <c r="J44" s="49"/>
      <c r="K44" s="39" t="s">
        <v>53</v>
      </c>
      <c r="M44" s="39" t="s">
        <v>224</v>
      </c>
      <c r="N44" s="49"/>
      <c r="O44" s="39" t="s">
        <v>55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54" t="s">
        <v>90</v>
      </c>
      <c r="B45" s="49"/>
      <c r="C45" s="54" t="s">
        <v>90</v>
      </c>
      <c r="E45" s="54" t="s">
        <v>57</v>
      </c>
      <c r="F45" s="49"/>
      <c r="G45" s="54" t="s">
        <v>57</v>
      </c>
      <c r="H45" s="49"/>
      <c r="I45" s="54" t="s">
        <v>90</v>
      </c>
      <c r="J45" s="49"/>
      <c r="K45" s="54" t="s">
        <v>57</v>
      </c>
      <c r="M45" s="54" t="s">
        <v>57</v>
      </c>
      <c r="N45" s="49"/>
      <c r="O45" s="54" t="s">
        <v>57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 t="s">
        <v>115</v>
      </c>
      <c r="B46" s="49"/>
      <c r="C46" s="39" t="s">
        <v>229</v>
      </c>
      <c r="E46" s="39" t="s">
        <v>87</v>
      </c>
      <c r="F46" s="49"/>
      <c r="G46" s="39" t="s">
        <v>331</v>
      </c>
      <c r="H46" s="49"/>
      <c r="I46" s="39" t="s">
        <v>332</v>
      </c>
      <c r="J46" s="49"/>
      <c r="K46" s="39" t="s">
        <v>305</v>
      </c>
      <c r="M46" s="39" t="s">
        <v>88</v>
      </c>
      <c r="N46" s="49"/>
      <c r="O46" s="39" t="s">
        <v>301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54" t="s">
        <v>123</v>
      </c>
      <c r="B47" s="49"/>
      <c r="C47" s="54" t="s">
        <v>309</v>
      </c>
      <c r="E47" s="54" t="s">
        <v>90</v>
      </c>
      <c r="F47" s="49"/>
      <c r="G47" s="54" t="s">
        <v>90</v>
      </c>
      <c r="H47" s="49"/>
      <c r="I47" s="54" t="s">
        <v>123</v>
      </c>
      <c r="J47" s="49"/>
      <c r="K47" s="54" t="s">
        <v>123</v>
      </c>
      <c r="M47" s="54" t="s">
        <v>90</v>
      </c>
      <c r="N47" s="49"/>
      <c r="O47" s="54" t="s">
        <v>123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 t="s">
        <v>239</v>
      </c>
      <c r="B48" s="49"/>
      <c r="C48" s="39" t="s">
        <v>313</v>
      </c>
      <c r="E48" s="39" t="s">
        <v>311</v>
      </c>
      <c r="F48" s="49"/>
      <c r="G48" s="39" t="s">
        <v>306</v>
      </c>
      <c r="H48" s="49"/>
      <c r="I48" s="39" t="s">
        <v>333</v>
      </c>
      <c r="J48" s="49"/>
      <c r="K48" s="39" t="s">
        <v>312</v>
      </c>
      <c r="M48" s="39" t="s">
        <v>304</v>
      </c>
      <c r="N48" s="49"/>
      <c r="O48" s="39" t="s">
        <v>235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54" t="s">
        <v>148</v>
      </c>
      <c r="B49" s="49"/>
      <c r="E49" s="54" t="s">
        <v>123</v>
      </c>
      <c r="F49" s="49"/>
      <c r="G49" s="54"/>
      <c r="H49" s="49"/>
      <c r="I49" s="54" t="s">
        <v>165</v>
      </c>
      <c r="J49" s="49"/>
      <c r="K49" s="39"/>
      <c r="M49" s="54" t="s">
        <v>123</v>
      </c>
      <c r="N49" s="4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 t="s">
        <v>310</v>
      </c>
      <c r="B50" s="49"/>
      <c r="E50" s="39" t="s">
        <v>314</v>
      </c>
      <c r="F50" s="49"/>
      <c r="G50" s="39"/>
      <c r="H50" s="49"/>
      <c r="I50" s="39" t="s">
        <v>238</v>
      </c>
      <c r="J50" s="49"/>
      <c r="K50" s="39"/>
      <c r="M50" s="39" t="s">
        <v>308</v>
      </c>
      <c r="N50" s="49"/>
      <c r="O50" s="39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C52" s="39"/>
      <c r="D52" s="39"/>
      <c r="E52" s="39"/>
      <c r="F52" s="39"/>
      <c r="G52" s="39"/>
      <c r="H52" s="39"/>
      <c r="I52" s="39"/>
      <c r="J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14.25"/>
    <col customWidth="1" min="7" max="7" width="16.13"/>
    <col customWidth="1" min="9" max="9" width="13.0"/>
    <col customWidth="1" min="13" max="13" width="15.13"/>
    <col customWidth="1" min="15" max="15" width="13.0"/>
  </cols>
  <sheetData>
    <row r="1">
      <c r="A1" s="34" t="s">
        <v>334</v>
      </c>
      <c r="B1" s="62"/>
      <c r="C1" s="38" t="s">
        <v>335</v>
      </c>
      <c r="D1" s="38" t="s">
        <v>336</v>
      </c>
      <c r="E1" s="38" t="s">
        <v>337</v>
      </c>
      <c r="F1" s="38" t="s">
        <v>338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B2" s="39"/>
      <c r="C2" s="38"/>
      <c r="D2" s="39"/>
      <c r="F2" s="39"/>
      <c r="G2" s="38"/>
      <c r="H2" s="39"/>
      <c r="J2" s="39"/>
      <c r="K2" s="38"/>
      <c r="L2" s="39"/>
      <c r="N2" s="39"/>
      <c r="O2" s="38"/>
      <c r="P2" s="39"/>
      <c r="Q2" s="42"/>
      <c r="R2" s="39"/>
      <c r="S2" s="39"/>
      <c r="T2" s="39"/>
      <c r="U2" s="39"/>
      <c r="V2" s="39"/>
      <c r="W2" s="39"/>
      <c r="X2" s="39"/>
      <c r="Y2" s="39"/>
      <c r="Z2" s="39"/>
    </row>
    <row r="3">
      <c r="A3" s="38" t="s">
        <v>297</v>
      </c>
      <c r="B3" s="39"/>
      <c r="C3" s="38" t="s">
        <v>271</v>
      </c>
      <c r="D3" s="39"/>
      <c r="E3" s="38" t="s">
        <v>269</v>
      </c>
      <c r="F3" s="39"/>
      <c r="G3" s="38" t="s">
        <v>273</v>
      </c>
      <c r="H3" s="39"/>
      <c r="I3" s="38" t="s">
        <v>339</v>
      </c>
      <c r="J3" s="39"/>
      <c r="K3" s="38" t="s">
        <v>274</v>
      </c>
      <c r="L3" s="39"/>
      <c r="M3" s="38" t="s">
        <v>272</v>
      </c>
      <c r="N3" s="39"/>
      <c r="O3" s="38" t="s">
        <v>268</v>
      </c>
      <c r="P3" s="39"/>
      <c r="Q3" s="42"/>
      <c r="R3" s="39"/>
      <c r="S3" s="39"/>
      <c r="T3" s="39"/>
      <c r="U3" s="39"/>
      <c r="V3" s="39"/>
      <c r="W3" s="39"/>
      <c r="X3" s="39"/>
      <c r="Y3" s="39"/>
      <c r="Z3" s="39"/>
    </row>
    <row r="4">
      <c r="A4" s="42" t="s">
        <v>15</v>
      </c>
      <c r="B4" s="39"/>
      <c r="C4" s="43" t="s">
        <v>17</v>
      </c>
      <c r="D4" s="39"/>
      <c r="E4" s="42" t="s">
        <v>22</v>
      </c>
      <c r="F4" s="39"/>
      <c r="G4" s="42" t="s">
        <v>20</v>
      </c>
      <c r="H4" s="39"/>
      <c r="I4" s="42" t="s">
        <v>18</v>
      </c>
      <c r="J4" s="39"/>
      <c r="K4" s="42" t="s">
        <v>16</v>
      </c>
      <c r="L4" s="39"/>
      <c r="M4" s="42" t="s">
        <v>21</v>
      </c>
      <c r="N4" s="39"/>
      <c r="O4" s="42" t="s">
        <v>19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23</v>
      </c>
      <c r="B5" s="39"/>
      <c r="C5" s="40" t="s">
        <v>25</v>
      </c>
      <c r="D5" s="39"/>
      <c r="E5" s="40" t="s">
        <v>30</v>
      </c>
      <c r="F5" s="39"/>
      <c r="G5" s="40" t="s">
        <v>28</v>
      </c>
      <c r="H5" s="39"/>
      <c r="I5" s="40" t="s">
        <v>26</v>
      </c>
      <c r="J5" s="39"/>
      <c r="K5" s="40" t="s">
        <v>24</v>
      </c>
      <c r="L5" s="39"/>
      <c r="M5" s="40" t="s">
        <v>29</v>
      </c>
      <c r="N5" s="39"/>
      <c r="O5" s="40" t="s">
        <v>27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4" t="s">
        <v>31</v>
      </c>
      <c r="C6" s="39"/>
      <c r="D6" s="44" t="s">
        <v>31</v>
      </c>
      <c r="E6" s="39"/>
      <c r="F6" s="44" t="s">
        <v>31</v>
      </c>
      <c r="G6" s="39"/>
      <c r="H6" s="44" t="s">
        <v>31</v>
      </c>
      <c r="I6" s="39"/>
      <c r="J6" s="44" t="s">
        <v>31</v>
      </c>
      <c r="K6" s="39"/>
      <c r="L6" s="44" t="s">
        <v>31</v>
      </c>
      <c r="M6" s="39"/>
      <c r="N6" s="44" t="s">
        <v>31</v>
      </c>
      <c r="O6" s="42"/>
      <c r="P6" s="44" t="s">
        <v>31</v>
      </c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5" t="s">
        <v>32</v>
      </c>
      <c r="B7" s="45"/>
      <c r="C7" s="45" t="s">
        <v>32</v>
      </c>
      <c r="D7" s="45"/>
      <c r="E7" s="45" t="s">
        <v>32</v>
      </c>
      <c r="F7" s="46"/>
      <c r="G7" s="45" t="s">
        <v>32</v>
      </c>
      <c r="H7" s="46"/>
      <c r="I7" s="45" t="s">
        <v>32</v>
      </c>
      <c r="J7" s="46"/>
      <c r="K7" s="45" t="s">
        <v>32</v>
      </c>
      <c r="L7" s="46"/>
      <c r="M7" s="45" t="s">
        <v>32</v>
      </c>
      <c r="N7" s="46"/>
      <c r="O7" s="45" t="s">
        <v>32</v>
      </c>
      <c r="P7" s="46"/>
      <c r="Q7" s="45"/>
      <c r="R7" s="46"/>
      <c r="S7" s="46"/>
      <c r="T7" s="46"/>
      <c r="U7" s="46"/>
      <c r="V7" s="46"/>
      <c r="W7" s="46"/>
      <c r="X7" s="46"/>
      <c r="Y7" s="46"/>
      <c r="Z7" s="46"/>
    </row>
    <row r="8">
      <c r="A8" s="47" t="s">
        <v>33</v>
      </c>
      <c r="B8" s="40">
        <v>29.0</v>
      </c>
      <c r="C8" s="48" t="s">
        <v>35</v>
      </c>
      <c r="D8" s="40">
        <v>41.0</v>
      </c>
      <c r="E8" s="48" t="s">
        <v>223</v>
      </c>
      <c r="F8" s="40">
        <v>35.0</v>
      </c>
      <c r="G8" s="39" t="s">
        <v>34</v>
      </c>
      <c r="H8" s="40"/>
      <c r="I8" s="48" t="s">
        <v>36</v>
      </c>
      <c r="J8" s="40">
        <v>16.0</v>
      </c>
      <c r="K8" s="48" t="s">
        <v>38</v>
      </c>
      <c r="L8" s="40">
        <v>43.0</v>
      </c>
      <c r="M8" s="48" t="s">
        <v>39</v>
      </c>
      <c r="N8" s="40">
        <v>10.0</v>
      </c>
      <c r="O8" s="48" t="s">
        <v>37</v>
      </c>
      <c r="P8" s="40">
        <v>19.0</v>
      </c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 t="s">
        <v>41</v>
      </c>
      <c r="B9" s="39"/>
      <c r="C9" s="39" t="s">
        <v>46</v>
      </c>
      <c r="D9" s="39"/>
      <c r="E9" s="39" t="s">
        <v>56</v>
      </c>
      <c r="F9" s="39"/>
      <c r="G9" s="48" t="s">
        <v>242</v>
      </c>
      <c r="H9" s="40">
        <v>35.0</v>
      </c>
      <c r="I9" s="39" t="s">
        <v>44</v>
      </c>
      <c r="J9" s="39"/>
      <c r="K9" s="39" t="s">
        <v>321</v>
      </c>
      <c r="L9" s="39"/>
      <c r="M9" s="39" t="s">
        <v>43</v>
      </c>
      <c r="N9" s="39"/>
      <c r="O9" s="39" t="s">
        <v>45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 t="s">
        <v>49</v>
      </c>
      <c r="B10" s="39"/>
      <c r="C10" s="39" t="s">
        <v>275</v>
      </c>
      <c r="D10" s="39"/>
      <c r="E10" s="39" t="s">
        <v>40</v>
      </c>
      <c r="F10" s="39"/>
      <c r="G10" s="39" t="s">
        <v>54</v>
      </c>
      <c r="H10" s="39"/>
      <c r="I10" s="39" t="s">
        <v>52</v>
      </c>
      <c r="J10" s="39"/>
      <c r="K10" s="39" t="s">
        <v>318</v>
      </c>
      <c r="L10" s="40"/>
      <c r="M10" s="63" t="s">
        <v>47</v>
      </c>
      <c r="N10" s="39"/>
      <c r="O10" s="39" t="s">
        <v>276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5" t="s">
        <v>57</v>
      </c>
      <c r="B12" s="46"/>
      <c r="C12" s="45" t="s">
        <v>57</v>
      </c>
      <c r="D12" s="46"/>
      <c r="E12" s="45" t="s">
        <v>57</v>
      </c>
      <c r="F12" s="46"/>
      <c r="G12" s="45" t="s">
        <v>57</v>
      </c>
      <c r="H12" s="46"/>
      <c r="I12" s="45" t="s">
        <v>57</v>
      </c>
      <c r="J12" s="46"/>
      <c r="K12" s="45" t="s">
        <v>57</v>
      </c>
      <c r="L12" s="46"/>
      <c r="M12" s="45" t="s">
        <v>57</v>
      </c>
      <c r="N12" s="46"/>
      <c r="O12" s="45" t="s">
        <v>57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7" t="s">
        <v>66</v>
      </c>
      <c r="B13" s="40">
        <v>15.0</v>
      </c>
      <c r="C13" s="48" t="s">
        <v>60</v>
      </c>
      <c r="D13" s="40">
        <v>19.0</v>
      </c>
      <c r="E13" s="48" t="s">
        <v>65</v>
      </c>
      <c r="F13" s="40">
        <v>2.0</v>
      </c>
      <c r="G13" s="64" t="s">
        <v>81</v>
      </c>
      <c r="H13" s="40">
        <v>6.0</v>
      </c>
      <c r="I13" s="48" t="s">
        <v>58</v>
      </c>
      <c r="J13" s="40">
        <v>12.0</v>
      </c>
      <c r="K13" s="48" t="s">
        <v>59</v>
      </c>
      <c r="L13" s="40">
        <v>24.0</v>
      </c>
      <c r="M13" s="39" t="s">
        <v>64</v>
      </c>
      <c r="N13" s="40"/>
      <c r="O13" s="39" t="s">
        <v>62</v>
      </c>
      <c r="P13" s="40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8" t="s">
        <v>74</v>
      </c>
      <c r="B14" s="40">
        <v>8.0</v>
      </c>
      <c r="C14" s="48" t="s">
        <v>83</v>
      </c>
      <c r="D14" s="40">
        <v>8.0</v>
      </c>
      <c r="E14" s="48" t="s">
        <v>73</v>
      </c>
      <c r="F14" s="40">
        <v>18.0</v>
      </c>
      <c r="G14" s="48" t="s">
        <v>89</v>
      </c>
      <c r="H14" s="40">
        <v>1.0</v>
      </c>
      <c r="I14" s="48" t="s">
        <v>69</v>
      </c>
      <c r="J14" s="40">
        <v>14.0</v>
      </c>
      <c r="K14" s="39" t="s">
        <v>75</v>
      </c>
      <c r="L14" s="39"/>
      <c r="M14" s="48" t="s">
        <v>68</v>
      </c>
      <c r="N14" s="40">
        <v>28.0</v>
      </c>
      <c r="O14" s="48" t="s">
        <v>70</v>
      </c>
      <c r="P14" s="40">
        <v>40.0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 t="s">
        <v>61</v>
      </c>
      <c r="B15" s="39"/>
      <c r="C15" s="39" t="s">
        <v>76</v>
      </c>
      <c r="D15" s="39"/>
      <c r="E15" s="39" t="s">
        <v>243</v>
      </c>
      <c r="F15" s="39"/>
      <c r="G15" s="39" t="s">
        <v>71</v>
      </c>
      <c r="H15" s="39"/>
      <c r="I15" s="39" t="s">
        <v>77</v>
      </c>
      <c r="J15" s="39"/>
      <c r="K15" s="39" t="s">
        <v>298</v>
      </c>
      <c r="L15" s="40"/>
      <c r="M15" s="48" t="s">
        <v>80</v>
      </c>
      <c r="N15" s="40">
        <v>13.0</v>
      </c>
      <c r="O15" s="48" t="s">
        <v>78</v>
      </c>
      <c r="P15" s="40">
        <v>6.0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 t="s">
        <v>213</v>
      </c>
      <c r="B16" s="39"/>
      <c r="C16" s="39" t="s">
        <v>324</v>
      </c>
      <c r="D16" s="39"/>
      <c r="E16" s="39" t="s">
        <v>63</v>
      </c>
      <c r="F16" s="39"/>
      <c r="G16" s="40" t="s">
        <v>228</v>
      </c>
      <c r="H16" s="39"/>
      <c r="I16" s="39" t="s">
        <v>263</v>
      </c>
      <c r="J16" s="39"/>
      <c r="K16" s="48" t="s">
        <v>79</v>
      </c>
      <c r="L16" s="40">
        <v>16.0</v>
      </c>
      <c r="M16" s="39" t="s">
        <v>72</v>
      </c>
      <c r="N16" s="39"/>
      <c r="O16" s="39" t="s">
        <v>86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5" t="s">
        <v>90</v>
      </c>
      <c r="B18" s="46"/>
      <c r="C18" s="45" t="s">
        <v>90</v>
      </c>
      <c r="D18" s="46"/>
      <c r="E18" s="45" t="s">
        <v>90</v>
      </c>
      <c r="F18" s="46"/>
      <c r="G18" s="45" t="s">
        <v>90</v>
      </c>
      <c r="H18" s="46"/>
      <c r="I18" s="45" t="s">
        <v>90</v>
      </c>
      <c r="J18" s="46"/>
      <c r="K18" s="45" t="s">
        <v>90</v>
      </c>
      <c r="L18" s="46"/>
      <c r="M18" s="45" t="s">
        <v>90</v>
      </c>
      <c r="N18" s="46"/>
      <c r="O18" s="45" t="s">
        <v>90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8" t="s">
        <v>91</v>
      </c>
      <c r="B19" s="40">
        <v>15.0</v>
      </c>
      <c r="C19" s="48" t="s">
        <v>100</v>
      </c>
      <c r="D19" s="40">
        <v>2.0</v>
      </c>
      <c r="E19" s="48" t="s">
        <v>99</v>
      </c>
      <c r="F19" s="40">
        <v>12.0</v>
      </c>
      <c r="G19" s="48" t="s">
        <v>96</v>
      </c>
      <c r="H19" s="40">
        <v>0.0</v>
      </c>
      <c r="I19" s="48" t="s">
        <v>94</v>
      </c>
      <c r="J19" s="40">
        <v>3.0</v>
      </c>
      <c r="K19" s="39" t="s">
        <v>92</v>
      </c>
      <c r="L19" s="40"/>
      <c r="M19" s="48" t="s">
        <v>97</v>
      </c>
      <c r="N19" s="40">
        <v>16.0</v>
      </c>
      <c r="O19" s="39" t="s">
        <v>95</v>
      </c>
      <c r="P19" s="40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8" t="s">
        <v>98</v>
      </c>
      <c r="B20" s="40">
        <v>10.0</v>
      </c>
      <c r="C20" s="48" t="s">
        <v>112</v>
      </c>
      <c r="D20" s="40">
        <v>12.0</v>
      </c>
      <c r="E20" s="47" t="s">
        <v>326</v>
      </c>
      <c r="F20" s="40">
        <v>12.0</v>
      </c>
      <c r="G20" s="48" t="s">
        <v>325</v>
      </c>
      <c r="H20" s="40">
        <v>15.0</v>
      </c>
      <c r="I20" s="48" t="s">
        <v>102</v>
      </c>
      <c r="J20" s="40">
        <v>3.0</v>
      </c>
      <c r="K20" s="39" t="s">
        <v>279</v>
      </c>
      <c r="L20" s="40"/>
      <c r="M20" s="63" t="s">
        <v>113</v>
      </c>
      <c r="N20" s="39"/>
      <c r="O20" s="39" t="s">
        <v>340</v>
      </c>
      <c r="P20" s="40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 t="s">
        <v>328</v>
      </c>
      <c r="B21" s="39"/>
      <c r="C21" s="39" t="s">
        <v>117</v>
      </c>
      <c r="D21" s="39"/>
      <c r="E21" s="39" t="s">
        <v>122</v>
      </c>
      <c r="F21" s="39"/>
      <c r="G21" s="39" t="s">
        <v>299</v>
      </c>
      <c r="H21" s="39"/>
      <c r="I21" s="39" t="s">
        <v>110</v>
      </c>
      <c r="J21" s="40"/>
      <c r="K21" s="48" t="s">
        <v>108</v>
      </c>
      <c r="L21" s="40">
        <v>21.0</v>
      </c>
      <c r="M21" s="48" t="s">
        <v>121</v>
      </c>
      <c r="N21" s="40">
        <v>8.0</v>
      </c>
      <c r="O21" s="48" t="s">
        <v>111</v>
      </c>
      <c r="P21" s="40">
        <v>5.0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 t="s">
        <v>329</v>
      </c>
      <c r="B22" s="39"/>
      <c r="C22" s="39" t="s">
        <v>330</v>
      </c>
      <c r="D22" s="39"/>
      <c r="E22" s="39" t="s">
        <v>106</v>
      </c>
      <c r="F22" s="39"/>
      <c r="G22" s="39" t="s">
        <v>120</v>
      </c>
      <c r="H22" s="39"/>
      <c r="I22" s="39" t="s">
        <v>118</v>
      </c>
      <c r="J22" s="39"/>
      <c r="K22" s="48" t="s">
        <v>341</v>
      </c>
      <c r="L22" s="40">
        <v>4.0</v>
      </c>
      <c r="M22" s="39" t="s">
        <v>105</v>
      </c>
      <c r="N22" s="39"/>
      <c r="O22" s="48" t="s">
        <v>103</v>
      </c>
      <c r="P22" s="40">
        <v>18.0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5" t="s">
        <v>123</v>
      </c>
      <c r="B24" s="46"/>
      <c r="C24" s="45" t="s">
        <v>123</v>
      </c>
      <c r="D24" s="46"/>
      <c r="E24" s="45" t="s">
        <v>123</v>
      </c>
      <c r="F24" s="46"/>
      <c r="G24" s="45" t="s">
        <v>123</v>
      </c>
      <c r="H24" s="46"/>
      <c r="I24" s="45" t="s">
        <v>123</v>
      </c>
      <c r="J24" s="46"/>
      <c r="K24" s="45" t="s">
        <v>123</v>
      </c>
      <c r="L24" s="46"/>
      <c r="M24" s="45" t="s">
        <v>123</v>
      </c>
      <c r="N24" s="46"/>
      <c r="O24" s="45" t="s">
        <v>123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8" t="s">
        <v>124</v>
      </c>
      <c r="B25" s="40">
        <v>2.0</v>
      </c>
      <c r="C25" s="48" t="s">
        <v>126</v>
      </c>
      <c r="D25" s="40">
        <v>15.0</v>
      </c>
      <c r="E25" s="48" t="s">
        <v>131</v>
      </c>
      <c r="F25" s="40">
        <v>16.0</v>
      </c>
      <c r="G25" s="48" t="s">
        <v>129</v>
      </c>
      <c r="H25" s="40">
        <v>8.0</v>
      </c>
      <c r="I25" s="48" t="s">
        <v>127</v>
      </c>
      <c r="J25" s="40">
        <v>4.0</v>
      </c>
      <c r="K25" s="39" t="s">
        <v>125</v>
      </c>
      <c r="L25" s="39"/>
      <c r="M25" s="48" t="s">
        <v>138</v>
      </c>
      <c r="N25" s="40">
        <v>0.0</v>
      </c>
      <c r="O25" s="48" t="s">
        <v>128</v>
      </c>
      <c r="P25" s="40">
        <v>7.0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 t="s">
        <v>140</v>
      </c>
      <c r="B26" s="39"/>
      <c r="C26" s="39" t="s">
        <v>146</v>
      </c>
      <c r="D26" s="39"/>
      <c r="E26" s="39" t="s">
        <v>139</v>
      </c>
      <c r="F26" s="39"/>
      <c r="G26" s="39" t="s">
        <v>145</v>
      </c>
      <c r="H26" s="39"/>
      <c r="I26" s="39" t="s">
        <v>135</v>
      </c>
      <c r="J26" s="39"/>
      <c r="K26" s="39" t="s">
        <v>141</v>
      </c>
      <c r="L26" s="40"/>
      <c r="M26" s="39" t="s">
        <v>137</v>
      </c>
      <c r="N26" s="39"/>
      <c r="O26" s="39" t="s">
        <v>136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0" t="s">
        <v>132</v>
      </c>
      <c r="B27" s="39"/>
      <c r="C27" s="39" t="s">
        <v>342</v>
      </c>
      <c r="D27" s="39"/>
      <c r="E27" s="39" t="s">
        <v>282</v>
      </c>
      <c r="F27" s="39"/>
      <c r="G27" s="40" t="s">
        <v>285</v>
      </c>
      <c r="H27" s="39"/>
      <c r="I27" s="39" t="s">
        <v>283</v>
      </c>
      <c r="J27" s="39"/>
      <c r="K27" s="48" t="s">
        <v>133</v>
      </c>
      <c r="L27" s="40">
        <v>4.0</v>
      </c>
      <c r="M27" s="39" t="s">
        <v>130</v>
      </c>
      <c r="N27" s="39"/>
      <c r="O27" s="39" t="s">
        <v>144</v>
      </c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5" t="s">
        <v>148</v>
      </c>
      <c r="B29" s="46"/>
      <c r="C29" s="45" t="s">
        <v>148</v>
      </c>
      <c r="D29" s="46"/>
      <c r="E29" s="45" t="s">
        <v>148</v>
      </c>
      <c r="F29" s="46"/>
      <c r="G29" s="45" t="s">
        <v>148</v>
      </c>
      <c r="H29" s="46"/>
      <c r="I29" s="45" t="s">
        <v>148</v>
      </c>
      <c r="J29" s="46"/>
      <c r="K29" s="45" t="s">
        <v>148</v>
      </c>
      <c r="L29" s="46"/>
      <c r="M29" s="45" t="s">
        <v>148</v>
      </c>
      <c r="N29" s="46"/>
      <c r="O29" s="45" t="s">
        <v>148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39" t="s">
        <v>164</v>
      </c>
      <c r="B30" s="40"/>
      <c r="C30" s="48" t="s">
        <v>151</v>
      </c>
      <c r="D30" s="40">
        <v>11.0</v>
      </c>
      <c r="E30" s="48" t="s">
        <v>156</v>
      </c>
      <c r="F30" s="40">
        <v>1.0</v>
      </c>
      <c r="G30" s="48" t="s">
        <v>154</v>
      </c>
      <c r="H30" s="40">
        <v>9.0</v>
      </c>
      <c r="I30" s="48" t="s">
        <v>152</v>
      </c>
      <c r="J30" s="40">
        <v>4.0</v>
      </c>
      <c r="K30" s="48" t="s">
        <v>150</v>
      </c>
      <c r="L30" s="40">
        <v>3.0</v>
      </c>
      <c r="M30" s="48" t="s">
        <v>155</v>
      </c>
      <c r="N30" s="40">
        <v>5.0</v>
      </c>
      <c r="O30" s="48" t="s">
        <v>153</v>
      </c>
      <c r="P30" s="40">
        <v>13.0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8" t="s">
        <v>149</v>
      </c>
      <c r="B31" s="40">
        <v>9.0</v>
      </c>
      <c r="C31" s="39" t="s">
        <v>286</v>
      </c>
      <c r="D31" s="39"/>
      <c r="E31" s="39" t="s">
        <v>159</v>
      </c>
      <c r="F31" s="39"/>
      <c r="G31" s="39" t="s">
        <v>162</v>
      </c>
      <c r="H31" s="39"/>
      <c r="I31" s="40" t="s">
        <v>160</v>
      </c>
      <c r="J31" s="39"/>
      <c r="K31" s="39" t="s">
        <v>158</v>
      </c>
      <c r="L31" s="39"/>
      <c r="M31" s="39" t="s">
        <v>163</v>
      </c>
      <c r="N31" s="39"/>
      <c r="O31" s="39" t="s">
        <v>161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5" t="s">
        <v>165</v>
      </c>
      <c r="B33" s="46"/>
      <c r="C33" s="45" t="s">
        <v>165</v>
      </c>
      <c r="D33" s="46"/>
      <c r="E33" s="45" t="s">
        <v>165</v>
      </c>
      <c r="F33" s="46"/>
      <c r="G33" s="45" t="s">
        <v>165</v>
      </c>
      <c r="H33" s="46"/>
      <c r="I33" s="45" t="s">
        <v>165</v>
      </c>
      <c r="J33" s="46"/>
      <c r="K33" s="45" t="s">
        <v>165</v>
      </c>
      <c r="L33" s="46"/>
      <c r="M33" s="45" t="s">
        <v>165</v>
      </c>
      <c r="N33" s="46"/>
      <c r="O33" s="45" t="s">
        <v>165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8" t="s">
        <v>166</v>
      </c>
      <c r="B34" s="40">
        <v>13.0</v>
      </c>
      <c r="C34" s="48" t="s">
        <v>179</v>
      </c>
      <c r="D34" s="40">
        <v>0.0</v>
      </c>
      <c r="E34" s="48" t="s">
        <v>173</v>
      </c>
      <c r="F34" s="40">
        <v>5.0</v>
      </c>
      <c r="G34" s="48" t="s">
        <v>174</v>
      </c>
      <c r="H34" s="40">
        <v>1.0</v>
      </c>
      <c r="I34" s="48" t="s">
        <v>169</v>
      </c>
      <c r="J34" s="40">
        <v>10.0</v>
      </c>
      <c r="K34" s="48" t="s">
        <v>167</v>
      </c>
      <c r="L34" s="40">
        <v>12.0</v>
      </c>
      <c r="M34" s="39" t="s">
        <v>255</v>
      </c>
      <c r="N34" s="40"/>
      <c r="O34" s="48" t="s">
        <v>170</v>
      </c>
      <c r="P34" s="40">
        <v>1.0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 t="s">
        <v>180</v>
      </c>
      <c r="B35" s="39"/>
      <c r="C35" s="39" t="s">
        <v>287</v>
      </c>
      <c r="D35" s="39"/>
      <c r="E35" s="39" t="s">
        <v>181</v>
      </c>
      <c r="F35" s="39"/>
      <c r="G35" s="39" t="s">
        <v>168</v>
      </c>
      <c r="H35" s="39"/>
      <c r="I35" s="39" t="s">
        <v>177</v>
      </c>
      <c r="J35" s="40"/>
      <c r="K35" s="39" t="s">
        <v>288</v>
      </c>
      <c r="L35" s="40"/>
      <c r="M35" s="48" t="s">
        <v>172</v>
      </c>
      <c r="N35" s="40">
        <v>4.0</v>
      </c>
      <c r="O35" s="39" t="s">
        <v>176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5" t="s">
        <v>289</v>
      </c>
      <c r="B37" s="46"/>
      <c r="C37" s="45" t="s">
        <v>289</v>
      </c>
      <c r="D37" s="46"/>
      <c r="E37" s="45" t="s">
        <v>289</v>
      </c>
      <c r="F37" s="46"/>
      <c r="G37" s="45" t="s">
        <v>289</v>
      </c>
      <c r="H37" s="46"/>
      <c r="I37" s="45" t="s">
        <v>289</v>
      </c>
      <c r="J37" s="46"/>
      <c r="K37" s="45" t="s">
        <v>289</v>
      </c>
      <c r="L37" s="46"/>
      <c r="M37" s="45" t="s">
        <v>289</v>
      </c>
      <c r="N37" s="46"/>
      <c r="O37" s="45" t="s">
        <v>289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8" t="s">
        <v>183</v>
      </c>
      <c r="B38" s="40">
        <v>2.0</v>
      </c>
      <c r="C38" s="48" t="s">
        <v>185</v>
      </c>
      <c r="D38" s="40">
        <v>4.0</v>
      </c>
      <c r="E38" s="48" t="s">
        <v>190</v>
      </c>
      <c r="F38" s="40">
        <v>4.0</v>
      </c>
      <c r="G38" s="48" t="s">
        <v>188</v>
      </c>
      <c r="H38" s="40">
        <v>-2.0</v>
      </c>
      <c r="I38" s="48" t="s">
        <v>186</v>
      </c>
      <c r="J38" s="40">
        <v>-2.0</v>
      </c>
      <c r="K38" s="48" t="s">
        <v>184</v>
      </c>
      <c r="L38" s="40">
        <v>3.0</v>
      </c>
      <c r="M38" s="48" t="s">
        <v>189</v>
      </c>
      <c r="N38" s="40">
        <v>2.0</v>
      </c>
      <c r="O38" s="48" t="s">
        <v>187</v>
      </c>
      <c r="P38" s="40">
        <v>5.0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 t="s">
        <v>191</v>
      </c>
      <c r="B39" s="39"/>
      <c r="C39" s="39" t="s">
        <v>193</v>
      </c>
      <c r="D39" s="39"/>
      <c r="E39" s="39" t="s">
        <v>198</v>
      </c>
      <c r="F39" s="39"/>
      <c r="G39" s="39" t="s">
        <v>196</v>
      </c>
      <c r="H39" s="39"/>
      <c r="I39" s="39" t="s">
        <v>194</v>
      </c>
      <c r="J39" s="39"/>
      <c r="K39" s="39" t="s">
        <v>192</v>
      </c>
      <c r="L39" s="40"/>
      <c r="M39" s="39" t="s">
        <v>197</v>
      </c>
      <c r="N39" s="39"/>
      <c r="O39" s="39" t="s">
        <v>195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>
        <f>SUM(B8:B39)</f>
        <v>103</v>
      </c>
      <c r="C41" s="39"/>
      <c r="D41" s="39">
        <f>SUM(D8:D39)</f>
        <v>112</v>
      </c>
      <c r="E41" s="39"/>
      <c r="F41" s="39">
        <f>SUM(F8:F39)</f>
        <v>105</v>
      </c>
      <c r="G41" s="39"/>
      <c r="H41" s="39">
        <f>SUM(H8:H39)</f>
        <v>73</v>
      </c>
      <c r="I41" s="39"/>
      <c r="J41" s="39">
        <f>SUM(J8:J39)</f>
        <v>64</v>
      </c>
      <c r="K41" s="39"/>
      <c r="L41" s="39">
        <f>SUM(L8:L39)</f>
        <v>130</v>
      </c>
      <c r="M41" s="39"/>
      <c r="N41" s="39">
        <f>SUM(N8:N39)</f>
        <v>86</v>
      </c>
      <c r="O41" s="39"/>
      <c r="P41" s="39">
        <f>SUM(P8:P39)</f>
        <v>114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8" t="s">
        <v>221</v>
      </c>
      <c r="B42" s="49"/>
      <c r="C42" s="48" t="s">
        <v>221</v>
      </c>
      <c r="D42" s="49"/>
      <c r="E42" s="48" t="s">
        <v>221</v>
      </c>
      <c r="F42" s="49"/>
      <c r="G42" s="48" t="s">
        <v>221</v>
      </c>
      <c r="H42" s="49"/>
      <c r="I42" s="48" t="s">
        <v>221</v>
      </c>
      <c r="J42" s="49"/>
      <c r="K42" s="48" t="s">
        <v>221</v>
      </c>
      <c r="L42" s="49"/>
      <c r="M42" s="48" t="s">
        <v>221</v>
      </c>
      <c r="N42" s="49"/>
      <c r="O42" s="48" t="s">
        <v>221</v>
      </c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54" t="s">
        <v>57</v>
      </c>
      <c r="B43" s="49"/>
      <c r="C43" s="54" t="s">
        <v>32</v>
      </c>
      <c r="E43" s="54" t="s">
        <v>32</v>
      </c>
      <c r="F43" s="49"/>
      <c r="G43" s="54" t="s">
        <v>57</v>
      </c>
      <c r="H43" s="49"/>
      <c r="I43" s="54" t="s">
        <v>57</v>
      </c>
      <c r="J43" s="49"/>
      <c r="K43" s="54" t="s">
        <v>32</v>
      </c>
      <c r="M43" s="54" t="s">
        <v>32</v>
      </c>
      <c r="N43" s="49"/>
      <c r="O43" s="54" t="s">
        <v>32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 t="s">
        <v>319</v>
      </c>
      <c r="B44" s="49"/>
      <c r="C44" s="39" t="s">
        <v>51</v>
      </c>
      <c r="E44" s="39" t="s">
        <v>302</v>
      </c>
      <c r="F44" s="49"/>
      <c r="G44" s="39" t="s">
        <v>303</v>
      </c>
      <c r="H44" s="49"/>
      <c r="I44" s="39" t="s">
        <v>277</v>
      </c>
      <c r="J44" s="49"/>
      <c r="K44" s="39" t="s">
        <v>55</v>
      </c>
      <c r="M44" s="39" t="s">
        <v>224</v>
      </c>
      <c r="N44" s="49"/>
      <c r="O44" s="39" t="s">
        <v>53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54" t="s">
        <v>90</v>
      </c>
      <c r="B45" s="49"/>
      <c r="C45" s="54" t="s">
        <v>57</v>
      </c>
      <c r="E45" s="54" t="s">
        <v>57</v>
      </c>
      <c r="F45" s="49"/>
      <c r="G45" s="54" t="s">
        <v>90</v>
      </c>
      <c r="H45" s="49"/>
      <c r="I45" s="54" t="s">
        <v>90</v>
      </c>
      <c r="J45" s="49"/>
      <c r="K45" s="54" t="s">
        <v>57</v>
      </c>
      <c r="M45" s="54" t="s">
        <v>57</v>
      </c>
      <c r="N45" s="49"/>
      <c r="O45" s="54" t="s">
        <v>57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 t="s">
        <v>115</v>
      </c>
      <c r="B46" s="49"/>
      <c r="C46" s="39" t="s">
        <v>331</v>
      </c>
      <c r="E46" s="39" t="s">
        <v>87</v>
      </c>
      <c r="F46" s="49"/>
      <c r="G46" s="39" t="s">
        <v>229</v>
      </c>
      <c r="H46" s="49"/>
      <c r="I46" s="39" t="s">
        <v>332</v>
      </c>
      <c r="J46" s="49"/>
      <c r="K46" s="39" t="s">
        <v>301</v>
      </c>
      <c r="M46" s="39" t="s">
        <v>88</v>
      </c>
      <c r="N46" s="49"/>
      <c r="O46" s="39" t="s">
        <v>305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54" t="s">
        <v>123</v>
      </c>
      <c r="B47" s="49"/>
      <c r="C47" s="54" t="s">
        <v>90</v>
      </c>
      <c r="E47" s="54" t="s">
        <v>90</v>
      </c>
      <c r="F47" s="49"/>
      <c r="G47" s="54" t="s">
        <v>309</v>
      </c>
      <c r="H47" s="49"/>
      <c r="I47" s="54" t="s">
        <v>123</v>
      </c>
      <c r="J47" s="49"/>
      <c r="K47" s="54" t="s">
        <v>90</v>
      </c>
      <c r="M47" s="54" t="s">
        <v>90</v>
      </c>
      <c r="N47" s="49"/>
      <c r="O47" s="54" t="s">
        <v>90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 t="s">
        <v>239</v>
      </c>
      <c r="B48" s="49"/>
      <c r="C48" s="39" t="s">
        <v>306</v>
      </c>
      <c r="E48" s="39" t="s">
        <v>311</v>
      </c>
      <c r="F48" s="49"/>
      <c r="G48" s="39" t="s">
        <v>313</v>
      </c>
      <c r="H48" s="49"/>
      <c r="I48" s="39" t="s">
        <v>333</v>
      </c>
      <c r="J48" s="49"/>
      <c r="K48" s="39" t="s">
        <v>281</v>
      </c>
      <c r="M48" s="39" t="s">
        <v>304</v>
      </c>
      <c r="N48" s="49"/>
      <c r="O48" s="39" t="s">
        <v>327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54" t="s">
        <v>148</v>
      </c>
      <c r="B49" s="49"/>
      <c r="C49" s="54" t="s">
        <v>123</v>
      </c>
      <c r="E49" s="54" t="s">
        <v>123</v>
      </c>
      <c r="F49" s="49"/>
      <c r="H49" s="49"/>
      <c r="I49" s="54" t="s">
        <v>165</v>
      </c>
      <c r="J49" s="49"/>
      <c r="K49" s="54" t="s">
        <v>123</v>
      </c>
      <c r="M49" s="54" t="s">
        <v>123</v>
      </c>
      <c r="N49" s="49"/>
      <c r="O49" s="54" t="s">
        <v>123</v>
      </c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 t="s">
        <v>310</v>
      </c>
      <c r="B50" s="49"/>
      <c r="C50" s="39" t="s">
        <v>244</v>
      </c>
      <c r="E50" s="39" t="s">
        <v>314</v>
      </c>
      <c r="F50" s="49"/>
      <c r="H50" s="49"/>
      <c r="I50" s="39" t="s">
        <v>238</v>
      </c>
      <c r="J50" s="49"/>
      <c r="K50" s="39" t="s">
        <v>235</v>
      </c>
      <c r="M50" s="39" t="s">
        <v>308</v>
      </c>
      <c r="N50" s="49"/>
      <c r="O50" s="39" t="s">
        <v>312</v>
      </c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7" max="7" width="16.13"/>
    <col customWidth="1" min="9" max="9" width="13.0"/>
    <col customWidth="1" min="11" max="11" width="15.13"/>
    <col customWidth="1" min="15" max="15" width="13.0"/>
  </cols>
  <sheetData>
    <row r="1">
      <c r="A1" s="34" t="s">
        <v>343</v>
      </c>
      <c r="B1" s="62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>
        <v>1.0</v>
      </c>
      <c r="B2" s="39"/>
      <c r="C2" s="40">
        <v>2.0</v>
      </c>
      <c r="D2" s="39"/>
      <c r="E2" s="40">
        <v>3.0</v>
      </c>
      <c r="F2" s="39"/>
      <c r="G2" s="40">
        <v>4.0</v>
      </c>
      <c r="H2" s="39"/>
      <c r="I2" s="40">
        <v>5.0</v>
      </c>
      <c r="J2" s="39"/>
      <c r="K2" s="40">
        <v>6.0</v>
      </c>
      <c r="L2" s="39"/>
      <c r="M2" s="40">
        <v>7.0</v>
      </c>
      <c r="N2" s="39"/>
      <c r="O2" s="40">
        <v>8.0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8" t="s">
        <v>344</v>
      </c>
      <c r="B3" s="39"/>
      <c r="C3" s="35" t="s">
        <v>259</v>
      </c>
      <c r="D3" s="39"/>
      <c r="E3" s="35" t="s">
        <v>9</v>
      </c>
      <c r="F3" s="39"/>
      <c r="G3" s="35" t="s">
        <v>260</v>
      </c>
      <c r="H3" s="39"/>
      <c r="I3" s="35" t="s">
        <v>345</v>
      </c>
      <c r="J3" s="39"/>
      <c r="K3" s="35" t="s">
        <v>261</v>
      </c>
      <c r="L3" s="39"/>
      <c r="M3" s="35" t="s">
        <v>8</v>
      </c>
      <c r="N3" s="39"/>
      <c r="O3" s="35" t="s">
        <v>258</v>
      </c>
      <c r="P3" s="39"/>
      <c r="Q3" s="42"/>
      <c r="R3" s="39"/>
      <c r="S3" s="39"/>
      <c r="T3" s="39"/>
      <c r="U3" s="39"/>
      <c r="V3" s="39"/>
      <c r="W3" s="39"/>
      <c r="X3" s="39"/>
      <c r="Y3" s="39"/>
      <c r="Z3" s="39"/>
    </row>
    <row r="4">
      <c r="A4" s="42" t="s">
        <v>15</v>
      </c>
      <c r="B4" s="39"/>
      <c r="C4" s="42" t="s">
        <v>22</v>
      </c>
      <c r="D4" s="39"/>
      <c r="E4" s="43" t="s">
        <v>17</v>
      </c>
      <c r="F4" s="39"/>
      <c r="G4" s="42" t="s">
        <v>20</v>
      </c>
      <c r="H4" s="39"/>
      <c r="I4" s="42" t="s">
        <v>18</v>
      </c>
      <c r="J4" s="39"/>
      <c r="K4" s="42" t="s">
        <v>21</v>
      </c>
      <c r="L4" s="39"/>
      <c r="M4" s="42" t="s">
        <v>16</v>
      </c>
      <c r="N4" s="39"/>
      <c r="O4" s="42" t="s">
        <v>19</v>
      </c>
      <c r="P4" s="39"/>
      <c r="Q4" s="39"/>
      <c r="R4" s="39"/>
      <c r="S4" s="39"/>
      <c r="T4" s="52"/>
      <c r="U4" s="39"/>
      <c r="V4" s="39"/>
      <c r="W4" s="39"/>
      <c r="X4" s="39"/>
      <c r="Y4" s="39"/>
      <c r="Z4" s="39"/>
    </row>
    <row r="5">
      <c r="A5" s="40" t="s">
        <v>23</v>
      </c>
      <c r="B5" s="39"/>
      <c r="C5" s="40" t="s">
        <v>30</v>
      </c>
      <c r="D5" s="39"/>
      <c r="E5" s="40" t="s">
        <v>25</v>
      </c>
      <c r="F5" s="39"/>
      <c r="G5" s="40" t="s">
        <v>28</v>
      </c>
      <c r="H5" s="39"/>
      <c r="I5" s="40" t="s">
        <v>26</v>
      </c>
      <c r="J5" s="39"/>
      <c r="K5" s="40" t="s">
        <v>29</v>
      </c>
      <c r="L5" s="39"/>
      <c r="M5" s="40" t="s">
        <v>24</v>
      </c>
      <c r="N5" s="39"/>
      <c r="O5" s="40" t="s">
        <v>27</v>
      </c>
      <c r="P5" s="39"/>
      <c r="Q5" s="39"/>
      <c r="R5" s="39"/>
      <c r="S5" s="39"/>
      <c r="T5" s="65" t="s">
        <v>346</v>
      </c>
      <c r="U5" s="65">
        <v>14.0</v>
      </c>
      <c r="V5" s="65" t="s">
        <v>347</v>
      </c>
      <c r="W5" s="66">
        <v>10.0</v>
      </c>
      <c r="X5" s="39"/>
      <c r="Y5" s="39"/>
      <c r="Z5" s="39"/>
    </row>
    <row r="6">
      <c r="A6" s="39"/>
      <c r="B6" s="44" t="s">
        <v>31</v>
      </c>
      <c r="C6" s="39"/>
      <c r="D6" s="44" t="s">
        <v>31</v>
      </c>
      <c r="E6" s="39"/>
      <c r="F6" s="44" t="s">
        <v>31</v>
      </c>
      <c r="G6" s="39"/>
      <c r="H6" s="44" t="s">
        <v>31</v>
      </c>
      <c r="I6" s="39"/>
      <c r="J6" s="44" t="s">
        <v>31</v>
      </c>
      <c r="K6" s="39"/>
      <c r="L6" s="44" t="s">
        <v>31</v>
      </c>
      <c r="M6" s="39"/>
      <c r="N6" s="44" t="s">
        <v>31</v>
      </c>
      <c r="O6" s="42"/>
      <c r="P6" s="44" t="s">
        <v>31</v>
      </c>
      <c r="Q6" s="39"/>
      <c r="R6" s="39"/>
      <c r="S6" s="39"/>
      <c r="T6" s="65" t="s">
        <v>348</v>
      </c>
      <c r="U6" s="65">
        <v>0.0</v>
      </c>
      <c r="V6" s="65" t="s">
        <v>349</v>
      </c>
      <c r="W6" s="40">
        <v>9.0</v>
      </c>
      <c r="X6" s="39"/>
      <c r="Y6" s="39"/>
      <c r="Z6" s="39"/>
    </row>
    <row r="7">
      <c r="A7" s="45" t="s">
        <v>32</v>
      </c>
      <c r="B7" s="45"/>
      <c r="C7" s="45" t="s">
        <v>32</v>
      </c>
      <c r="D7" s="45"/>
      <c r="E7" s="45" t="s">
        <v>32</v>
      </c>
      <c r="F7" s="46"/>
      <c r="G7" s="45" t="s">
        <v>32</v>
      </c>
      <c r="H7" s="46"/>
      <c r="I7" s="45" t="s">
        <v>32</v>
      </c>
      <c r="J7" s="46"/>
      <c r="K7" s="45" t="s">
        <v>32</v>
      </c>
      <c r="L7" s="46"/>
      <c r="M7" s="45" t="s">
        <v>32</v>
      </c>
      <c r="N7" s="46"/>
      <c r="O7" s="45" t="s">
        <v>32</v>
      </c>
      <c r="P7" s="46"/>
      <c r="Q7" s="45"/>
      <c r="R7" s="46"/>
      <c r="S7" s="46"/>
      <c r="T7" s="65" t="s">
        <v>350</v>
      </c>
      <c r="U7" s="66">
        <v>0.0</v>
      </c>
      <c r="V7" s="65" t="s">
        <v>351</v>
      </c>
      <c r="W7" s="65">
        <v>3.0</v>
      </c>
      <c r="X7" s="46"/>
      <c r="Y7" s="46"/>
      <c r="Z7" s="46"/>
    </row>
    <row r="8">
      <c r="A8" s="47" t="s">
        <v>33</v>
      </c>
      <c r="B8" s="40">
        <v>26.0</v>
      </c>
      <c r="C8" s="48" t="s">
        <v>223</v>
      </c>
      <c r="D8" s="40">
        <v>24.0</v>
      </c>
      <c r="E8" s="48" t="s">
        <v>35</v>
      </c>
      <c r="F8" s="40">
        <v>25.0</v>
      </c>
      <c r="G8" s="48" t="s">
        <v>34</v>
      </c>
      <c r="H8" s="40">
        <v>28.0</v>
      </c>
      <c r="I8" s="48" t="s">
        <v>36</v>
      </c>
      <c r="J8" s="40">
        <v>22.0</v>
      </c>
      <c r="K8" s="39" t="s">
        <v>39</v>
      </c>
      <c r="L8" s="39"/>
      <c r="M8" s="48" t="s">
        <v>38</v>
      </c>
      <c r="N8" s="40">
        <v>19.0</v>
      </c>
      <c r="O8" s="48" t="s">
        <v>37</v>
      </c>
      <c r="P8" s="40">
        <v>33.0</v>
      </c>
      <c r="Q8" s="39"/>
      <c r="R8" s="39"/>
      <c r="S8" s="39"/>
      <c r="T8" s="65" t="s">
        <v>352</v>
      </c>
      <c r="U8" s="65">
        <v>14.0</v>
      </c>
      <c r="V8" s="65" t="s">
        <v>353</v>
      </c>
      <c r="W8" s="40">
        <v>0.0</v>
      </c>
      <c r="X8" s="39"/>
      <c r="Y8" s="39"/>
      <c r="Z8" s="39"/>
    </row>
    <row r="9">
      <c r="A9" s="39" t="s">
        <v>41</v>
      </c>
      <c r="B9" s="39"/>
      <c r="C9" s="39" t="s">
        <v>56</v>
      </c>
      <c r="D9" s="39"/>
      <c r="E9" s="39" t="s">
        <v>46</v>
      </c>
      <c r="F9" s="39"/>
      <c r="G9" s="39" t="s">
        <v>242</v>
      </c>
      <c r="H9" s="39"/>
      <c r="I9" s="39" t="s">
        <v>44</v>
      </c>
      <c r="J9" s="39"/>
      <c r="K9" s="39" t="s">
        <v>43</v>
      </c>
      <c r="L9" s="39"/>
      <c r="M9" s="39" t="s">
        <v>321</v>
      </c>
      <c r="N9" s="39"/>
      <c r="O9" s="39" t="s">
        <v>45</v>
      </c>
      <c r="P9" s="39"/>
      <c r="Q9" s="39"/>
      <c r="R9" s="39"/>
      <c r="S9" s="39"/>
      <c r="T9" s="65" t="s">
        <v>354</v>
      </c>
      <c r="U9" s="65">
        <v>0.0</v>
      </c>
      <c r="V9" s="65" t="s">
        <v>355</v>
      </c>
      <c r="W9" s="40">
        <v>0.0</v>
      </c>
      <c r="X9" s="39"/>
      <c r="Y9" s="39"/>
      <c r="Z9" s="39"/>
    </row>
    <row r="10">
      <c r="A10" s="39" t="s">
        <v>49</v>
      </c>
      <c r="B10" s="39"/>
      <c r="C10" s="39" t="s">
        <v>40</v>
      </c>
      <c r="D10" s="39"/>
      <c r="E10" s="39" t="s">
        <v>275</v>
      </c>
      <c r="F10" s="39"/>
      <c r="G10" s="39" t="s">
        <v>54</v>
      </c>
      <c r="H10" s="39"/>
      <c r="I10" s="39" t="s">
        <v>52</v>
      </c>
      <c r="J10" s="39"/>
      <c r="K10" s="64" t="s">
        <v>47</v>
      </c>
      <c r="L10" s="40">
        <v>27.0</v>
      </c>
      <c r="M10" s="39" t="s">
        <v>318</v>
      </c>
      <c r="N10" s="39"/>
      <c r="O10" s="39" t="s">
        <v>276</v>
      </c>
      <c r="P10" s="39"/>
      <c r="Q10" s="39"/>
      <c r="R10" s="39"/>
      <c r="S10" s="39"/>
      <c r="T10" s="65" t="s">
        <v>356</v>
      </c>
      <c r="U10" s="67"/>
      <c r="V10" s="65" t="s">
        <v>357</v>
      </c>
      <c r="W10" s="40">
        <v>11.0</v>
      </c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65" t="s">
        <v>358</v>
      </c>
      <c r="U11" s="65">
        <v>7.0</v>
      </c>
      <c r="V11" s="65" t="s">
        <v>359</v>
      </c>
      <c r="W11" s="66">
        <v>4.0</v>
      </c>
      <c r="X11" s="39"/>
      <c r="Y11" s="39"/>
      <c r="Z11" s="39"/>
    </row>
    <row r="12">
      <c r="A12" s="45" t="s">
        <v>57</v>
      </c>
      <c r="B12" s="46"/>
      <c r="C12" s="45" t="s">
        <v>57</v>
      </c>
      <c r="D12" s="46"/>
      <c r="E12" s="45" t="s">
        <v>57</v>
      </c>
      <c r="F12" s="46"/>
      <c r="G12" s="45" t="s">
        <v>57</v>
      </c>
      <c r="H12" s="46"/>
      <c r="I12" s="45" t="s">
        <v>57</v>
      </c>
      <c r="J12" s="46"/>
      <c r="K12" s="45" t="s">
        <v>57</v>
      </c>
      <c r="L12" s="46"/>
      <c r="M12" s="45" t="s">
        <v>57</v>
      </c>
      <c r="N12" s="46"/>
      <c r="O12" s="45" t="s">
        <v>57</v>
      </c>
      <c r="P12" s="46"/>
      <c r="Q12" s="46"/>
      <c r="R12" s="46"/>
      <c r="S12" s="46"/>
      <c r="T12" s="65" t="s">
        <v>360</v>
      </c>
      <c r="U12" s="65">
        <v>10.0</v>
      </c>
      <c r="V12" s="65" t="s">
        <v>361</v>
      </c>
      <c r="W12" s="65">
        <v>8.0</v>
      </c>
      <c r="X12" s="46"/>
      <c r="Y12" s="46"/>
      <c r="Z12" s="46"/>
    </row>
    <row r="13">
      <c r="A13" s="48" t="s">
        <v>74</v>
      </c>
      <c r="B13" s="40">
        <v>4.0</v>
      </c>
      <c r="C13" s="48" t="s">
        <v>65</v>
      </c>
      <c r="D13" s="40">
        <v>6.0</v>
      </c>
      <c r="E13" s="48" t="s">
        <v>60</v>
      </c>
      <c r="F13" s="40">
        <v>24.0</v>
      </c>
      <c r="G13" s="48" t="s">
        <v>66</v>
      </c>
      <c r="H13" s="40">
        <v>24.0</v>
      </c>
      <c r="I13" s="48" t="s">
        <v>58</v>
      </c>
      <c r="J13" s="40">
        <v>16.0</v>
      </c>
      <c r="K13" s="48" t="s">
        <v>64</v>
      </c>
      <c r="L13" s="40">
        <v>12.0</v>
      </c>
      <c r="M13" s="48" t="s">
        <v>59</v>
      </c>
      <c r="N13" s="40">
        <v>4.0</v>
      </c>
      <c r="O13" s="48" t="s">
        <v>62</v>
      </c>
      <c r="P13" s="40">
        <v>31.0</v>
      </c>
      <c r="Q13" s="39"/>
      <c r="R13" s="39"/>
      <c r="S13" s="39"/>
      <c r="T13" s="65" t="s">
        <v>362</v>
      </c>
      <c r="U13" s="65">
        <v>4.0</v>
      </c>
      <c r="V13" s="65" t="s">
        <v>363</v>
      </c>
      <c r="W13" s="65">
        <v>6.0</v>
      </c>
      <c r="X13" s="40"/>
      <c r="Y13" s="39"/>
      <c r="Z13" s="39"/>
    </row>
    <row r="14">
      <c r="A14" s="48" t="s">
        <v>364</v>
      </c>
      <c r="B14" s="40">
        <v>0.0</v>
      </c>
      <c r="C14" s="48" t="s">
        <v>73</v>
      </c>
      <c r="D14" s="40">
        <v>0.0</v>
      </c>
      <c r="E14" s="48" t="s">
        <v>83</v>
      </c>
      <c r="F14" s="40">
        <v>12.0</v>
      </c>
      <c r="G14" s="64" t="s">
        <v>81</v>
      </c>
      <c r="H14" s="40">
        <v>19.0</v>
      </c>
      <c r="I14" s="48" t="s">
        <v>69</v>
      </c>
      <c r="J14" s="40">
        <v>8.0</v>
      </c>
      <c r="K14" s="39" t="s">
        <v>68</v>
      </c>
      <c r="L14" s="39"/>
      <c r="M14" s="48" t="s">
        <v>75</v>
      </c>
      <c r="N14" s="40">
        <v>8.0</v>
      </c>
      <c r="O14" s="48" t="s">
        <v>70</v>
      </c>
      <c r="P14" s="40">
        <v>13.0</v>
      </c>
      <c r="Q14" s="39"/>
      <c r="R14" s="39"/>
      <c r="S14" s="39"/>
      <c r="T14" s="52"/>
      <c r="U14" s="39"/>
      <c r="V14" s="39"/>
      <c r="W14" s="39"/>
      <c r="X14" s="39"/>
      <c r="Y14" s="39"/>
      <c r="Z14" s="39"/>
    </row>
    <row r="15">
      <c r="A15" s="39" t="s">
        <v>213</v>
      </c>
      <c r="B15" s="39"/>
      <c r="C15" s="39" t="s">
        <v>243</v>
      </c>
      <c r="D15" s="39"/>
      <c r="E15" s="39" t="s">
        <v>76</v>
      </c>
      <c r="F15" s="39"/>
      <c r="G15" s="39" t="s">
        <v>89</v>
      </c>
      <c r="H15" s="39"/>
      <c r="I15" s="39" t="s">
        <v>77</v>
      </c>
      <c r="J15" s="39"/>
      <c r="K15" s="48" t="s">
        <v>80</v>
      </c>
      <c r="L15" s="40">
        <v>2.0</v>
      </c>
      <c r="M15" s="39" t="s">
        <v>298</v>
      </c>
      <c r="N15" s="39"/>
      <c r="O15" s="39" t="s">
        <v>78</v>
      </c>
      <c r="P15" s="39"/>
      <c r="Q15" s="39"/>
      <c r="R15" s="39"/>
      <c r="S15" s="39"/>
      <c r="T15" s="39"/>
      <c r="U15" s="39">
        <f>SUM(U5:U13)</f>
        <v>49</v>
      </c>
      <c r="V15" s="39"/>
      <c r="W15" s="39">
        <f>SUM(W5:W13)</f>
        <v>51</v>
      </c>
      <c r="X15" s="39"/>
      <c r="Y15" s="39"/>
      <c r="Z15" s="39"/>
    </row>
    <row r="16">
      <c r="A16" s="39" t="s">
        <v>228</v>
      </c>
      <c r="B16" s="39"/>
      <c r="C16" s="39" t="s">
        <v>63</v>
      </c>
      <c r="D16" s="39"/>
      <c r="E16" s="39" t="s">
        <v>324</v>
      </c>
      <c r="F16" s="39"/>
      <c r="G16" s="39" t="s">
        <v>71</v>
      </c>
      <c r="H16" s="39"/>
      <c r="I16" s="39" t="s">
        <v>263</v>
      </c>
      <c r="J16" s="39"/>
      <c r="K16" s="39" t="s">
        <v>72</v>
      </c>
      <c r="L16" s="39"/>
      <c r="M16" s="39" t="s">
        <v>79</v>
      </c>
      <c r="N16" s="39"/>
      <c r="O16" s="39" t="s">
        <v>86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5" t="s">
        <v>90</v>
      </c>
      <c r="B18" s="46"/>
      <c r="C18" s="45" t="s">
        <v>90</v>
      </c>
      <c r="D18" s="46"/>
      <c r="E18" s="45" t="s">
        <v>90</v>
      </c>
      <c r="F18" s="46"/>
      <c r="G18" s="45" t="s">
        <v>90</v>
      </c>
      <c r="H18" s="46"/>
      <c r="I18" s="45" t="s">
        <v>90</v>
      </c>
      <c r="J18" s="46"/>
      <c r="K18" s="45" t="s">
        <v>90</v>
      </c>
      <c r="L18" s="46"/>
      <c r="M18" s="45" t="s">
        <v>90</v>
      </c>
      <c r="N18" s="46"/>
      <c r="O18" s="45" t="s">
        <v>90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8" t="s">
        <v>91</v>
      </c>
      <c r="B19" s="40">
        <v>10.0</v>
      </c>
      <c r="C19" s="48" t="s">
        <v>99</v>
      </c>
      <c r="D19" s="40">
        <v>15.0</v>
      </c>
      <c r="E19" s="48" t="s">
        <v>100</v>
      </c>
      <c r="F19" s="40">
        <v>15.0</v>
      </c>
      <c r="G19" s="48" t="s">
        <v>96</v>
      </c>
      <c r="H19" s="40">
        <v>7.0</v>
      </c>
      <c r="I19" s="48" t="s">
        <v>94</v>
      </c>
      <c r="J19" s="40">
        <v>27.0</v>
      </c>
      <c r="K19" s="48" t="s">
        <v>97</v>
      </c>
      <c r="L19" s="40">
        <v>6.0</v>
      </c>
      <c r="M19" s="48" t="s">
        <v>92</v>
      </c>
      <c r="N19" s="40">
        <v>1.0</v>
      </c>
      <c r="O19" s="48" t="s">
        <v>95</v>
      </c>
      <c r="P19" s="40">
        <v>0.0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8" t="s">
        <v>98</v>
      </c>
      <c r="B20" s="40">
        <v>8.0</v>
      </c>
      <c r="C20" s="47" t="s">
        <v>326</v>
      </c>
      <c r="D20" s="40">
        <v>5.0</v>
      </c>
      <c r="E20" s="48" t="s">
        <v>112</v>
      </c>
      <c r="F20" s="40">
        <v>9.0</v>
      </c>
      <c r="G20" s="48" t="s">
        <v>325</v>
      </c>
      <c r="H20" s="40">
        <v>15.0</v>
      </c>
      <c r="I20" s="39" t="s">
        <v>102</v>
      </c>
      <c r="J20" s="39"/>
      <c r="K20" s="64" t="s">
        <v>113</v>
      </c>
      <c r="L20" s="40">
        <v>18.0</v>
      </c>
      <c r="M20" s="39" t="s">
        <v>279</v>
      </c>
      <c r="N20" s="39"/>
      <c r="O20" s="48" t="s">
        <v>340</v>
      </c>
      <c r="P20" s="40">
        <v>0.0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 t="s">
        <v>328</v>
      </c>
      <c r="B21" s="39"/>
      <c r="C21" s="39" t="s">
        <v>122</v>
      </c>
      <c r="D21" s="39"/>
      <c r="E21" s="39" t="s">
        <v>117</v>
      </c>
      <c r="F21" s="39"/>
      <c r="G21" s="39" t="s">
        <v>299</v>
      </c>
      <c r="H21" s="39"/>
      <c r="I21" s="48" t="s">
        <v>110</v>
      </c>
      <c r="J21" s="40">
        <v>2.0</v>
      </c>
      <c r="K21" s="39" t="s">
        <v>121</v>
      </c>
      <c r="L21" s="39"/>
      <c r="M21" s="48" t="s">
        <v>108</v>
      </c>
      <c r="N21" s="40">
        <v>8.0</v>
      </c>
      <c r="O21" s="39" t="s">
        <v>111</v>
      </c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 t="s">
        <v>329</v>
      </c>
      <c r="B22" s="39"/>
      <c r="C22" s="39" t="s">
        <v>106</v>
      </c>
      <c r="D22" s="39"/>
      <c r="E22" s="39" t="s">
        <v>330</v>
      </c>
      <c r="F22" s="39"/>
      <c r="G22" s="39" t="s">
        <v>120</v>
      </c>
      <c r="H22" s="39"/>
      <c r="I22" s="39" t="s">
        <v>118</v>
      </c>
      <c r="J22" s="39"/>
      <c r="K22" s="39" t="s">
        <v>105</v>
      </c>
      <c r="L22" s="39"/>
      <c r="M22" s="39" t="s">
        <v>341</v>
      </c>
      <c r="N22" s="39"/>
      <c r="O22" s="39" t="s">
        <v>103</v>
      </c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5" t="s">
        <v>123</v>
      </c>
      <c r="B24" s="46"/>
      <c r="C24" s="45" t="s">
        <v>123</v>
      </c>
      <c r="D24" s="46"/>
      <c r="E24" s="45" t="s">
        <v>123</v>
      </c>
      <c r="F24" s="46"/>
      <c r="G24" s="45" t="s">
        <v>123</v>
      </c>
      <c r="H24" s="46"/>
      <c r="I24" s="45" t="s">
        <v>123</v>
      </c>
      <c r="J24" s="46"/>
      <c r="K24" s="45" t="s">
        <v>123</v>
      </c>
      <c r="L24" s="46"/>
      <c r="M24" s="45" t="s">
        <v>123</v>
      </c>
      <c r="N24" s="46"/>
      <c r="O24" s="45" t="s">
        <v>123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8" t="s">
        <v>124</v>
      </c>
      <c r="B25" s="40">
        <v>17.0</v>
      </c>
      <c r="C25" s="48" t="s">
        <v>131</v>
      </c>
      <c r="D25" s="40">
        <v>4.0</v>
      </c>
      <c r="E25" s="48" t="s">
        <v>126</v>
      </c>
      <c r="F25" s="40">
        <v>11.0</v>
      </c>
      <c r="G25" s="48" t="s">
        <v>132</v>
      </c>
      <c r="H25" s="40">
        <v>0.0</v>
      </c>
      <c r="I25" s="48" t="s">
        <v>127</v>
      </c>
      <c r="J25" s="40">
        <v>7.0</v>
      </c>
      <c r="K25" s="39" t="s">
        <v>138</v>
      </c>
      <c r="L25" s="39"/>
      <c r="M25" s="48" t="s">
        <v>125</v>
      </c>
      <c r="N25" s="40">
        <v>4.0</v>
      </c>
      <c r="O25" s="48" t="s">
        <v>128</v>
      </c>
      <c r="P25" s="40">
        <v>8.0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 t="s">
        <v>140</v>
      </c>
      <c r="B26" s="39"/>
      <c r="C26" s="39" t="s">
        <v>139</v>
      </c>
      <c r="D26" s="39"/>
      <c r="E26" s="39" t="s">
        <v>146</v>
      </c>
      <c r="F26" s="39"/>
      <c r="G26" s="39" t="s">
        <v>145</v>
      </c>
      <c r="H26" s="39"/>
      <c r="I26" s="39" t="s">
        <v>135</v>
      </c>
      <c r="J26" s="39"/>
      <c r="K26" s="48" t="s">
        <v>137</v>
      </c>
      <c r="L26" s="40">
        <v>3.0</v>
      </c>
      <c r="M26" s="39" t="s">
        <v>141</v>
      </c>
      <c r="N26" s="39"/>
      <c r="O26" s="39" t="s">
        <v>136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 t="s">
        <v>129</v>
      </c>
      <c r="B27" s="39"/>
      <c r="C27" s="39" t="s">
        <v>282</v>
      </c>
      <c r="D27" s="39"/>
      <c r="E27" s="39" t="s">
        <v>342</v>
      </c>
      <c r="F27" s="39"/>
      <c r="G27" s="39" t="s">
        <v>365</v>
      </c>
      <c r="H27" s="39"/>
      <c r="I27" s="39" t="s">
        <v>283</v>
      </c>
      <c r="J27" s="39"/>
      <c r="K27" s="39" t="s">
        <v>130</v>
      </c>
      <c r="L27" s="39"/>
      <c r="M27" s="39" t="s">
        <v>133</v>
      </c>
      <c r="N27" s="39"/>
      <c r="O27" s="39" t="s">
        <v>144</v>
      </c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5" t="s">
        <v>148</v>
      </c>
      <c r="B29" s="46"/>
      <c r="C29" s="45" t="s">
        <v>148</v>
      </c>
      <c r="D29" s="46"/>
      <c r="E29" s="45" t="s">
        <v>148</v>
      </c>
      <c r="F29" s="46"/>
      <c r="G29" s="45" t="s">
        <v>148</v>
      </c>
      <c r="H29" s="46"/>
      <c r="I29" s="45" t="s">
        <v>148</v>
      </c>
      <c r="J29" s="46"/>
      <c r="K29" s="45" t="s">
        <v>148</v>
      </c>
      <c r="L29" s="46"/>
      <c r="M29" s="45" t="s">
        <v>148</v>
      </c>
      <c r="N29" s="46"/>
      <c r="O29" s="45" t="s">
        <v>148</v>
      </c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8" t="s">
        <v>164</v>
      </c>
      <c r="B30" s="40">
        <v>4.0</v>
      </c>
      <c r="C30" s="48" t="s">
        <v>156</v>
      </c>
      <c r="D30" s="40">
        <v>12.0</v>
      </c>
      <c r="E30" s="48" t="s">
        <v>151</v>
      </c>
      <c r="F30" s="40">
        <v>8.0</v>
      </c>
      <c r="G30" s="48" t="s">
        <v>154</v>
      </c>
      <c r="H30" s="40">
        <v>4.0</v>
      </c>
      <c r="I30" s="48" t="s">
        <v>152</v>
      </c>
      <c r="J30" s="40">
        <v>6.0</v>
      </c>
      <c r="K30" s="48" t="s">
        <v>155</v>
      </c>
      <c r="L30" s="40">
        <v>6.0</v>
      </c>
      <c r="M30" s="48" t="s">
        <v>150</v>
      </c>
      <c r="N30" s="40">
        <v>2.0</v>
      </c>
      <c r="O30" s="48" t="s">
        <v>153</v>
      </c>
      <c r="P30" s="40">
        <v>6.0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 t="s">
        <v>149</v>
      </c>
      <c r="B31" s="39"/>
      <c r="C31" s="39" t="s">
        <v>159</v>
      </c>
      <c r="D31" s="39"/>
      <c r="E31" s="39" t="s">
        <v>286</v>
      </c>
      <c r="F31" s="39"/>
      <c r="G31" s="39" t="s">
        <v>162</v>
      </c>
      <c r="H31" s="39"/>
      <c r="I31" s="40" t="s">
        <v>160</v>
      </c>
      <c r="J31" s="39"/>
      <c r="K31" s="39" t="s">
        <v>163</v>
      </c>
      <c r="L31" s="39"/>
      <c r="M31" s="39" t="s">
        <v>158</v>
      </c>
      <c r="N31" s="39"/>
      <c r="O31" s="39" t="s">
        <v>161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5" t="s">
        <v>165</v>
      </c>
      <c r="B33" s="46"/>
      <c r="C33" s="45" t="s">
        <v>165</v>
      </c>
      <c r="D33" s="46"/>
      <c r="E33" s="45" t="s">
        <v>165</v>
      </c>
      <c r="F33" s="46"/>
      <c r="G33" s="45" t="s">
        <v>165</v>
      </c>
      <c r="H33" s="46"/>
      <c r="I33" s="45" t="s">
        <v>165</v>
      </c>
      <c r="J33" s="46"/>
      <c r="K33" s="45" t="s">
        <v>165</v>
      </c>
      <c r="L33" s="46"/>
      <c r="M33" s="45" t="s">
        <v>165</v>
      </c>
      <c r="N33" s="46"/>
      <c r="O33" s="45" t="s">
        <v>165</v>
      </c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8" t="s">
        <v>166</v>
      </c>
      <c r="B34" s="40">
        <v>9.0</v>
      </c>
      <c r="C34" s="48" t="s">
        <v>173</v>
      </c>
      <c r="D34" s="40">
        <v>3.0</v>
      </c>
      <c r="E34" s="48" t="s">
        <v>179</v>
      </c>
      <c r="F34" s="40">
        <v>11.0</v>
      </c>
      <c r="G34" s="48" t="s">
        <v>174</v>
      </c>
      <c r="H34" s="40">
        <v>7.0</v>
      </c>
      <c r="I34" s="39" t="s">
        <v>169</v>
      </c>
      <c r="J34" s="39"/>
      <c r="K34" s="39" t="s">
        <v>255</v>
      </c>
      <c r="L34" s="39"/>
      <c r="M34" s="48" t="s">
        <v>167</v>
      </c>
      <c r="N34" s="40">
        <v>3.0</v>
      </c>
      <c r="O34" s="48" t="s">
        <v>170</v>
      </c>
      <c r="P34" s="40">
        <v>9.0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 t="s">
        <v>180</v>
      </c>
      <c r="B35" s="39"/>
      <c r="C35" s="39" t="s">
        <v>181</v>
      </c>
      <c r="D35" s="39"/>
      <c r="E35" s="39" t="s">
        <v>287</v>
      </c>
      <c r="F35" s="39"/>
      <c r="G35" s="39" t="s">
        <v>168</v>
      </c>
      <c r="H35" s="39"/>
      <c r="I35" s="48" t="s">
        <v>177</v>
      </c>
      <c r="J35" s="40">
        <v>4.0</v>
      </c>
      <c r="K35" s="48" t="s">
        <v>172</v>
      </c>
      <c r="L35" s="40">
        <v>6.0</v>
      </c>
      <c r="M35" s="39" t="s">
        <v>288</v>
      </c>
      <c r="N35" s="39"/>
      <c r="O35" s="39" t="s">
        <v>176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5" t="s">
        <v>289</v>
      </c>
      <c r="B37" s="46"/>
      <c r="C37" s="45" t="s">
        <v>289</v>
      </c>
      <c r="D37" s="46"/>
      <c r="E37" s="45" t="s">
        <v>289</v>
      </c>
      <c r="F37" s="46"/>
      <c r="G37" s="45" t="s">
        <v>289</v>
      </c>
      <c r="H37" s="46"/>
      <c r="I37" s="45" t="s">
        <v>289</v>
      </c>
      <c r="J37" s="46"/>
      <c r="K37" s="45" t="s">
        <v>289</v>
      </c>
      <c r="L37" s="46"/>
      <c r="M37" s="45" t="s">
        <v>289</v>
      </c>
      <c r="N37" s="46"/>
      <c r="O37" s="45" t="s">
        <v>289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8" t="s">
        <v>183</v>
      </c>
      <c r="B38" s="40">
        <v>4.0</v>
      </c>
      <c r="C38" s="48" t="s">
        <v>190</v>
      </c>
      <c r="D38" s="40">
        <v>2.0</v>
      </c>
      <c r="E38" s="48" t="s">
        <v>185</v>
      </c>
      <c r="F38" s="40">
        <v>4.0</v>
      </c>
      <c r="G38" s="48" t="s">
        <v>188</v>
      </c>
      <c r="H38" s="40">
        <v>2.0</v>
      </c>
      <c r="I38" s="48" t="s">
        <v>186</v>
      </c>
      <c r="J38" s="40">
        <v>0.0</v>
      </c>
      <c r="K38" s="39" t="s">
        <v>189</v>
      </c>
      <c r="L38" s="39"/>
      <c r="M38" s="48" t="s">
        <v>184</v>
      </c>
      <c r="N38" s="40">
        <v>2.0</v>
      </c>
      <c r="O38" s="48" t="s">
        <v>187</v>
      </c>
      <c r="P38" s="40">
        <v>3.0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 t="s">
        <v>191</v>
      </c>
      <c r="B39" s="39"/>
      <c r="C39" s="39" t="s">
        <v>198</v>
      </c>
      <c r="D39" s="39"/>
      <c r="E39" s="39" t="s">
        <v>193</v>
      </c>
      <c r="F39" s="39"/>
      <c r="G39" s="39" t="s">
        <v>196</v>
      </c>
      <c r="H39" s="39"/>
      <c r="I39" s="39" t="s">
        <v>194</v>
      </c>
      <c r="J39" s="39"/>
      <c r="K39" s="48" t="s">
        <v>197</v>
      </c>
      <c r="L39" s="40">
        <v>2.0</v>
      </c>
      <c r="M39" s="39" t="s">
        <v>192</v>
      </c>
      <c r="N39" s="39"/>
      <c r="O39" s="39" t="s">
        <v>195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>
        <f>SUM(B8:B39)</f>
        <v>82</v>
      </c>
      <c r="C41" s="39"/>
      <c r="D41" s="39">
        <f>SUM(D8:D39)</f>
        <v>71</v>
      </c>
      <c r="E41" s="39"/>
      <c r="F41" s="39">
        <f>SUM(F8:F39)</f>
        <v>119</v>
      </c>
      <c r="G41" s="39"/>
      <c r="H41" s="39">
        <f>SUM(H8:H39)</f>
        <v>106</v>
      </c>
      <c r="I41" s="39"/>
      <c r="J41" s="39">
        <f>SUM(J8:J39)</f>
        <v>92</v>
      </c>
      <c r="K41" s="39"/>
      <c r="L41" s="39">
        <f>SUM(L8:L39)</f>
        <v>82</v>
      </c>
      <c r="M41" s="39"/>
      <c r="N41" s="39">
        <f>SUM(N8:N39)</f>
        <v>51</v>
      </c>
      <c r="O41" s="39"/>
      <c r="P41" s="39">
        <f>SUM(P8:P39)</f>
        <v>103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8" t="s">
        <v>221</v>
      </c>
      <c r="B42" s="49"/>
      <c r="C42" s="48" t="s">
        <v>221</v>
      </c>
      <c r="D42" s="49"/>
      <c r="E42" s="48" t="s">
        <v>221</v>
      </c>
      <c r="F42" s="49"/>
      <c r="G42" s="48" t="s">
        <v>221</v>
      </c>
      <c r="H42" s="49"/>
      <c r="I42" s="48" t="s">
        <v>221</v>
      </c>
      <c r="J42" s="49"/>
      <c r="K42" s="48" t="s">
        <v>221</v>
      </c>
      <c r="L42" s="49"/>
      <c r="M42" s="48" t="s">
        <v>221</v>
      </c>
      <c r="N42" s="49"/>
      <c r="O42" s="48" t="s">
        <v>221</v>
      </c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54" t="s">
        <v>57</v>
      </c>
      <c r="B43" s="49"/>
      <c r="C43" s="54" t="s">
        <v>32</v>
      </c>
      <c r="D43" s="49"/>
      <c r="E43" s="54" t="s">
        <v>32</v>
      </c>
      <c r="F43" s="49"/>
      <c r="G43" s="54" t="s">
        <v>57</v>
      </c>
      <c r="H43" s="49"/>
      <c r="I43" s="54" t="s">
        <v>57</v>
      </c>
      <c r="J43" s="49"/>
      <c r="K43" s="54" t="s">
        <v>32</v>
      </c>
      <c r="L43" s="49"/>
      <c r="M43" s="54" t="s">
        <v>32</v>
      </c>
      <c r="N43" s="49"/>
      <c r="O43" s="54" t="s">
        <v>32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 t="s">
        <v>319</v>
      </c>
      <c r="B44" s="49"/>
      <c r="C44" s="39" t="s">
        <v>302</v>
      </c>
      <c r="D44" s="49"/>
      <c r="E44" s="39" t="s">
        <v>51</v>
      </c>
      <c r="F44" s="49"/>
      <c r="G44" s="39" t="s">
        <v>303</v>
      </c>
      <c r="H44" s="49"/>
      <c r="I44" s="39" t="s">
        <v>277</v>
      </c>
      <c r="J44" s="49"/>
      <c r="K44" s="39" t="s">
        <v>224</v>
      </c>
      <c r="L44" s="49"/>
      <c r="M44" s="39" t="s">
        <v>55</v>
      </c>
      <c r="N44" s="49"/>
      <c r="O44" s="39" t="s">
        <v>53</v>
      </c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54" t="s">
        <v>90</v>
      </c>
      <c r="B45" s="49"/>
      <c r="C45" s="54" t="s">
        <v>57</v>
      </c>
      <c r="D45" s="49"/>
      <c r="E45" s="54" t="s">
        <v>57</v>
      </c>
      <c r="F45" s="49"/>
      <c r="G45" s="54" t="s">
        <v>90</v>
      </c>
      <c r="H45" s="49"/>
      <c r="I45" s="54" t="s">
        <v>90</v>
      </c>
      <c r="J45" s="49"/>
      <c r="K45" s="54" t="s">
        <v>57</v>
      </c>
      <c r="L45" s="49"/>
      <c r="M45" s="54" t="s">
        <v>57</v>
      </c>
      <c r="N45" s="49"/>
      <c r="O45" s="54" t="s">
        <v>57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 t="s">
        <v>115</v>
      </c>
      <c r="B46" s="49"/>
      <c r="C46" s="39" t="s">
        <v>87</v>
      </c>
      <c r="D46" s="49"/>
      <c r="E46" s="39" t="s">
        <v>331</v>
      </c>
      <c r="F46" s="49"/>
      <c r="G46" s="39" t="s">
        <v>229</v>
      </c>
      <c r="H46" s="49"/>
      <c r="I46" s="39" t="s">
        <v>332</v>
      </c>
      <c r="J46" s="49"/>
      <c r="K46" s="39" t="s">
        <v>88</v>
      </c>
      <c r="L46" s="49"/>
      <c r="M46" s="39" t="s">
        <v>301</v>
      </c>
      <c r="N46" s="49"/>
      <c r="O46" s="39" t="s">
        <v>305</v>
      </c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54" t="s">
        <v>123</v>
      </c>
      <c r="B47" s="49"/>
      <c r="C47" s="54" t="s">
        <v>90</v>
      </c>
      <c r="D47" s="49"/>
      <c r="E47" s="54" t="s">
        <v>90</v>
      </c>
      <c r="F47" s="49"/>
      <c r="G47" s="54" t="s">
        <v>123</v>
      </c>
      <c r="H47" s="49"/>
      <c r="I47" s="54" t="s">
        <v>123</v>
      </c>
      <c r="J47" s="49"/>
      <c r="K47" s="54" t="s">
        <v>90</v>
      </c>
      <c r="L47" s="49"/>
      <c r="M47" s="54" t="s">
        <v>90</v>
      </c>
      <c r="N47" s="49"/>
      <c r="O47" s="54" t="s">
        <v>90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 t="s">
        <v>239</v>
      </c>
      <c r="B48" s="49"/>
      <c r="C48" s="39" t="s">
        <v>311</v>
      </c>
      <c r="D48" s="49"/>
      <c r="E48" s="39" t="s">
        <v>306</v>
      </c>
      <c r="F48" s="49"/>
      <c r="G48" s="39" t="s">
        <v>285</v>
      </c>
      <c r="H48" s="49"/>
      <c r="I48" s="39" t="s">
        <v>333</v>
      </c>
      <c r="J48" s="49"/>
      <c r="K48" s="39" t="s">
        <v>304</v>
      </c>
      <c r="L48" s="49"/>
      <c r="M48" s="39" t="s">
        <v>281</v>
      </c>
      <c r="N48" s="49"/>
      <c r="O48" s="39" t="s">
        <v>327</v>
      </c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54" t="s">
        <v>148</v>
      </c>
      <c r="B49" s="49"/>
      <c r="C49" s="54" t="s">
        <v>123</v>
      </c>
      <c r="D49" s="49"/>
      <c r="E49" s="54" t="s">
        <v>123</v>
      </c>
      <c r="F49" s="49"/>
      <c r="G49" s="54" t="s">
        <v>309</v>
      </c>
      <c r="H49" s="49"/>
      <c r="I49" s="54" t="s">
        <v>165</v>
      </c>
      <c r="J49" s="49"/>
      <c r="K49" s="54" t="s">
        <v>123</v>
      </c>
      <c r="L49" s="49"/>
      <c r="M49" s="54" t="s">
        <v>123</v>
      </c>
      <c r="N49" s="49"/>
      <c r="O49" s="54" t="s">
        <v>123</v>
      </c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 t="s">
        <v>310</v>
      </c>
      <c r="B50" s="49"/>
      <c r="C50" s="39" t="s">
        <v>314</v>
      </c>
      <c r="D50" s="49"/>
      <c r="E50" s="39" t="s">
        <v>244</v>
      </c>
      <c r="F50" s="49"/>
      <c r="G50" s="39" t="s">
        <v>313</v>
      </c>
      <c r="H50" s="49"/>
      <c r="I50" s="39" t="s">
        <v>238</v>
      </c>
      <c r="J50" s="49"/>
      <c r="K50" s="39" t="s">
        <v>308</v>
      </c>
      <c r="L50" s="49"/>
      <c r="M50" s="39" t="s">
        <v>235</v>
      </c>
      <c r="N50" s="49"/>
      <c r="O50" s="39" t="s">
        <v>312</v>
      </c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</sheetData>
  <drawing r:id="rId1"/>
</worksheet>
</file>